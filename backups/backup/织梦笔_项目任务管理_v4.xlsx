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.0-MVP" sheetId="1" state="visible" r:id="rId1"/>
    <sheet xmlns:r="http://schemas.openxmlformats.org/officeDocument/2006/relationships" name="v1.5-增强" sheetId="2" state="visible" r:id="rId2"/>
    <sheet xmlns:r="http://schemas.openxmlformats.org/officeDocument/2006/relationships" name="v2.0-生态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任务总览" sheetId="5" state="visible" r:id="rId5"/>
    <sheet xmlns:r="http://schemas.openxmlformats.org/officeDocument/2006/relationships" name="v2.5-Harness" sheetId="6" state="visible" r:id="rId6"/>
    <sheet xmlns:r="http://schemas.openxmlformats.org/officeDocument/2006/relationships" name="v2.3-Global" sheetId="7" state="visible" r:id="rId7"/>
  </sheets>
  <definedNames>
    <definedName name="_xlnm._FilterDatabase" localSheetId="0" hidden="1">'v1.0-MVP'!$A$1:$N$138</definedName>
    <definedName name="_xlnm._FilterDatabase" localSheetId="1" hidden="1">'v1.5-增强'!$A$1:$N$58</definedName>
    <definedName name="_xlnm._FilterDatabase" localSheetId="2" hidden="1">'v2.0-生态'!$A$1:$N$67</definedName>
    <definedName name="_xlnm._FilterDatabase" localSheetId="3" hidden="1">'里程碑'!$A$1:$G$13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color rgb="00FFFFFF"/>
      <sz val="11"/>
    </font>
    <font>
      <name val="Microsoft YaHei"/>
      <b val="1"/>
      <color rgb="001A1A2E"/>
      <sz val="16"/>
    </font>
    <font>
      <name val="Microsoft YaHei"/>
      <b val="1"/>
      <sz val="11"/>
    </font>
    <font>
      <name val="Microsoft YaHei"/>
      <b val="1"/>
      <color rgb="001A1A2E"/>
      <sz val="14"/>
    </font>
    <font>
      <name val="Arial"/>
      <b val="1"/>
      <color rgb="00FFFFFF"/>
      <sz val="10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7F8C8D"/>
        <bgColor rgb="007F8C8D"/>
      </patternFill>
    </fill>
    <fill>
      <patternFill patternType="solid">
        <fgColor rgb="00E74C3C"/>
        <bgColor rgb="00E74C3C"/>
      </patternFill>
    </fill>
    <fill>
      <patternFill patternType="solid">
        <fgColor rgb="00BDC3C7"/>
        <bgColor rgb="00BDC3C7"/>
      </patternFill>
    </fill>
    <fill>
      <patternFill patternType="solid">
        <fgColor rgb="00F7F9FC"/>
        <bgColor rgb="00F7F9FC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95A5A6"/>
        <bgColor rgb="0095A5A6"/>
      </patternFill>
    </fill>
    <fill>
      <patternFill patternType="solid">
        <fgColor rgb="008E44AD"/>
        <bgColor rgb="008E44AD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6B6B"/>
      </patternFill>
    </fill>
    <fill>
      <patternFill patternType="solid">
        <fgColor rgb="00ADB5BD"/>
      </patternFill>
    </fill>
    <fill>
      <patternFill patternType="solid">
        <fgColor rgb="00F7F9FC"/>
      </patternFill>
    </fill>
    <fill>
      <patternFill patternType="solid">
        <fgColor rgb="00FFA94D"/>
      </patternFill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ADB5BD"/>
        <bgColor rgb="00ADB5BD"/>
      </patternFill>
    </fill>
    <fill>
      <patternFill patternType="solid">
        <fgColor rgb="00FFA94D"/>
        <bgColor rgb="00FFA94D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top" wrapText="1"/>
    </xf>
    <xf numFmtId="164" fontId="2" fillId="7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164" fontId="3" fillId="2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top" wrapText="1"/>
    </xf>
    <xf numFmtId="0" fontId="8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top" wrapText="1"/>
    </xf>
    <xf numFmtId="0" fontId="7" fillId="17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18" borderId="2" applyAlignment="1" pivotButton="0" quotePrefix="0" xfId="0">
      <alignment horizontal="center" vertical="center"/>
    </xf>
    <xf numFmtId="0" fontId="7" fillId="19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center" wrapText="1"/>
    </xf>
    <xf numFmtId="0" fontId="7" fillId="2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MVP-CLI-001</t>
        </is>
      </c>
      <c r="B2" s="2" t="inlineStr">
        <is>
          <t>克隆VS Code OSS仓库，配置开发环境</t>
        </is>
      </c>
      <c r="C2" s="3" t="inlineStr">
        <is>
          <t>基础设施</t>
        </is>
      </c>
      <c r="D2" s="2" t="inlineStr">
        <is>
          <t>客户端基础</t>
        </is>
      </c>
      <c r="E2" s="4" t="inlineStr">
        <is>
          <t>P0</t>
        </is>
      </c>
      <c r="F2" s="5" t="inlineStr">
        <is>
          <t>全栈</t>
        </is>
      </c>
      <c r="G2" s="5" t="n">
        <v>2</v>
      </c>
      <c r="H2" s="5" t="inlineStr">
        <is>
          <t>2026-W14</t>
        </is>
      </c>
      <c r="I2" s="5" t="inlineStr">
        <is>
          <t>2026-W14</t>
        </is>
      </c>
      <c r="J2" s="2" t="inlineStr"/>
      <c r="K2" s="6" t="inlineStr">
        <is>
          <t>未开始</t>
        </is>
      </c>
      <c r="L2" s="2" t="inlineStr">
        <is>
          <t>【目标】搭建织梦笔客户端开发环境，基于VS Code OSS Fork
【技术选型】VS Code OSS (microsoft/vscode), Node.js 20+, Yarn 1.22+
【具体步骤】
1. 克隆仓库：git clone https://github.com/microsoft/vscode.git --depth 1
2. 安装Node.js 20+：确认node -v &gt;= 20.0.0, npm -v &gt;= 10.0.0
3. 安装Yarn：corepack enable &amp;&amp; corepack prepare yarn@1.22.22 --activate
4. 安装依赖：cd vscode &amp;&amp; yarn install
5. 编译验证：yarn watch（等待编译完成，确认无错误）
6. 运行验证：yarn electron（启动Electron应用，确认VS Code正常打开）
7. 配置开发环境：
   - 创建.vscode/settings.json，配置TypeScript strict模式
   - 配置ESLint：.eslintrc.json继承VS Code规则
   - 配置Prettier：.prettierrc统一代码风格
   - 配置launch.json用于F5调试
【配置内容】
{
  "typescript.tsdk": "node_modules/typescript/lib",
  "typescript.enablePromptUseWorkspaceTsdk": true,
  "editor.formatOnSave": true,
  "editor.defaultFormatter": "esbenp.prettier-vscode"
}
【验证命令】yarn watch &amp;&amp; yarn electron
【预期结果】VS Code OSS成功编译并启动，无任何错误或警告</t>
        </is>
      </c>
      <c r="M2" s="2" t="inlineStr">
        <is>
          <t>VS Code OSS成功编译启动，F5可调试，ESLint/Prettier配置生效</t>
        </is>
      </c>
      <c r="N2" s="2" t="inlineStr"/>
    </row>
    <row r="3" ht="200" customHeight="1">
      <c r="A3" s="7" t="inlineStr">
        <is>
          <t>MVP-CLI-002</t>
        </is>
      </c>
      <c r="B3" s="7" t="inlineStr">
        <is>
          <t>修改product.json品牌化</t>
        </is>
      </c>
      <c r="C3" s="8" t="inlineStr">
        <is>
          <t>Green实现</t>
        </is>
      </c>
      <c r="D3" s="7" t="inlineStr">
        <is>
          <t>客户端基础</t>
        </is>
      </c>
      <c r="E3" s="4" t="inlineStr">
        <is>
          <t>P0</t>
        </is>
      </c>
      <c r="F3" s="9" t="inlineStr">
        <is>
          <t>前端</t>
        </is>
      </c>
      <c r="G3" s="9" t="n">
        <v>1</v>
      </c>
      <c r="H3" s="9" t="inlineStr">
        <is>
          <t>2026-W14</t>
        </is>
      </c>
      <c r="I3" s="9" t="inlineStr">
        <is>
          <t>2026-W14</t>
        </is>
      </c>
      <c r="J3" s="7" t="inlineStr">
        <is>
          <t>MVP-CLI-001</t>
        </is>
      </c>
      <c r="K3" s="6" t="inlineStr">
        <is>
          <t>未开始</t>
        </is>
      </c>
      <c r="L3" s="7" t="inlineStr">
        <is>
          <t>【目标】将VS Code OSS品牌化为「织梦笔」
【源文件路径】product.json
【实现步骤】
1. 修改product.json中的品牌字段：
   - nameShort: "织梦笔"
   - nameLong: "织梦笔 - AI驱动的小说创作工具"
   - applicationName: "dreamweaver-pen"
   - dataFolderName: "DreamweaverPen"
   - reportIssueUrl: "https://github.com/dreamweaver-pen/issues"
   - licenseUrl: "https://github.com/dreamweaver-pen/license"
2. 替换extensionsGallery端点为自建：
   - 将"extensionsGallery.serviceUrl"替换为自建扩展市场地址
   - 或设为空字符串禁用默认扩展市场
3. 禁用遥测：
   - 将"enableTelemetry"设为false
   - 将"aiServices"相关配置清空或禁用
4. 修改quality参数为"oss"
5. 验证yarn watch编译通过
6. 启动应用验证标题栏显示"织梦笔"
【关键代码结构】
- product.json: { nameShort, nameLong, applicationName, dataFolderName, extensionsGallery, enableTelemetry }
【运行命令】yarn watch &amp;&amp; yarn electron
【预期结果】应用标题显示"织梦笔"，数据存储在DreamweaverPen目录</t>
        </is>
      </c>
      <c r="M3" s="7" t="inlineStr">
        <is>
          <t>应用标题显示「织梦笔」，数据目录为DreamweaverPen，遥测已禁用，编译无错误</t>
        </is>
      </c>
      <c r="N3" s="7" t="inlineStr"/>
    </row>
    <row r="4" ht="200" customHeight="1">
      <c r="A4" s="2" t="inlineStr">
        <is>
          <t>MVP-CLI-003</t>
        </is>
      </c>
      <c r="B4" s="2" t="inlineStr">
        <is>
          <t>替换图标和资源文件</t>
        </is>
      </c>
      <c r="C4" s="8" t="inlineStr">
        <is>
          <t>Green实现</t>
        </is>
      </c>
      <c r="D4" s="2" t="inlineStr">
        <is>
          <t>客户端基础</t>
        </is>
      </c>
      <c r="E4" s="4" t="inlineStr">
        <is>
          <t>P0</t>
        </is>
      </c>
      <c r="F4" s="5" t="inlineStr">
        <is>
          <t>前端</t>
        </is>
      </c>
      <c r="G4" s="5" t="n">
        <v>1</v>
      </c>
      <c r="H4" s="5" t="inlineStr">
        <is>
          <t>2026-W14</t>
        </is>
      </c>
      <c r="I4" s="5" t="inlineStr">
        <is>
          <t>2026-W14</t>
        </is>
      </c>
      <c r="J4" s="2" t="inlineStr">
        <is>
          <t>MVP-CLI-002</t>
        </is>
      </c>
      <c r="K4" s="6" t="inlineStr">
        <is>
          <t>未开始</t>
        </is>
      </c>
      <c r="L4" s="2" t="inlineStr">
        <is>
          <t>【目标】替换VS Code OSS默认图标为织梦笔品牌图标
【源文件路径】resources/目录
【实现步骤】
1. 准备织梦笔Logo设计稿（由设计师提供，路径：assets/brand/logo/）
2. 替换各平台图标文件：
   - macOS: resources/darwin/code.icns → 替换为织梦笔.icns（需要iconutil工具转换）
   - Windows: resources/win32/code_150x150.png, code_70x70.png, code.ico → 替换为织梦笔图标
   - Linux: resources/linux/code.png → 替换为织梦笔.png
3. 替换窗口图标：
   - resources/code-icon.svg → 替换为织梦笔SVG
4. 生成各尺寸PNG（使用sharp或ImageMagick）：
   - 16x16, 32x32, 48x48, 64x64, 128x128, 256x256, 512x512
5. 生成macOS .icns文件：iconutil -c icns icon.iconset
6. 生成Windows .ico文件：使用ImageMagick或在线工具
7. 验证各平台图标显示正确
【配置内容】
- macOS图标尺寸：16/32/128/256/512/1024
- Windows图标尺寸：16/32/48/64/128/256
- Linux图标尺寸：64/128/256/512
【验证命令】yarn watch &amp;&amp; yarn electron（各平台分别验证）
【预期结果】各平台任务栏、窗口标题、桌面快捷方式均显示织梦笔图标</t>
        </is>
      </c>
      <c r="M4" s="2" t="inlineStr">
        <is>
          <t>macOS/Windows/Linux各平台图标均正确显示织梦笔Logo，无残留VS Code图标</t>
        </is>
      </c>
      <c r="N4" s="2" t="inlineStr"/>
    </row>
    <row r="5" ht="200" customHeight="1">
      <c r="A5" s="7" t="inlineStr">
        <is>
          <t>MVP-CLI-004</t>
        </is>
      </c>
      <c r="B5" s="7" t="inlineStr">
        <is>
          <t>移除不需要的内置功能</t>
        </is>
      </c>
      <c r="C5" s="8" t="inlineStr">
        <is>
          <t>Green实现</t>
        </is>
      </c>
      <c r="D5" s="7" t="inlineStr">
        <is>
          <t>客户端基础</t>
        </is>
      </c>
      <c r="E5" s="10" t="inlineStr">
        <is>
          <t>P1</t>
        </is>
      </c>
      <c r="F5" s="9" t="inlineStr">
        <is>
          <t>前端</t>
        </is>
      </c>
      <c r="G5" s="9" t="n">
        <v>2</v>
      </c>
      <c r="H5" s="9" t="inlineStr">
        <is>
          <t>2026-W14</t>
        </is>
      </c>
      <c r="I5" s="9" t="inlineStr">
        <is>
          <t>2026-W15</t>
        </is>
      </c>
      <c r="J5" s="7" t="inlineStr">
        <is>
          <t>MVP-CLI-002</t>
        </is>
      </c>
      <c r="K5" s="6" t="inlineStr">
        <is>
          <t>未开始</t>
        </is>
      </c>
      <c r="L5" s="7" t="inlineStr">
        <is>
          <t>【目标】移除VS Code中与小说创作无关的内置功能，精简编辑器
【源文件路径】extensions/, src/vs/workbench/contrib/
【实现步骤】
1. 从extensions/目录移除以下内置扩展：
   - extensions/debugger-auto-launch/ → 调试器自动启动
   - extensions/git/ → Git集成
   - extensions/git-base/ → Git基础
   - extensions/merge-conflict/ → 合并冲突
   - extensions/npm/ → NPM支持
   - extensions/debugger-core/ → 调试器核心
   - extensions/typescript-language-features/ → 保留但精简
2. 从src/vs/workbench/contrib/移除对应贡献点：
   - contrib/debug/ → 调试视图
   - contrib/scm/ → 源代码管理
   - contrib/terminal/ → 终端（可选保留）
   - contrib/testing/ → 测试面板
   - contrib/remote/ → 远程开发
3. 修改默认布局配置：
   - 隐藏Debug视图
   - 隐藏Source Control视图
   - 隐藏Extensions视图（或替换为织梦笔扩展市场）
4. 清理package.json中的扩展依赖
5. 验证编译通过：yarn watch
6. 验证移除的面板不再显示
【关键代码结构】
- extensions/ → 删除不需要的扩展目录
- src/vs/workbench/contrib/ → 删除不需要的贡献点
- src/vs/workbench/browser/workbench.contribution.ts → 移除注册
【运行命令】yarn watch（编译验证）
【预期结果】编译通过，移除的面板不再显示，保留核心编辑功能</t>
        </is>
      </c>
      <c r="M5" s="7" t="inlineStr">
        <is>
          <t>移除的功能面板不再显示，编译无错误，核心编辑功能正常</t>
        </is>
      </c>
      <c r="N5" s="7" t="inlineStr"/>
    </row>
    <row r="6" ht="200" customHeight="1">
      <c r="A6" s="2" t="inlineStr">
        <is>
          <t>MVP-CLI-005</t>
        </is>
      </c>
      <c r="B6" s="2" t="inlineStr">
        <is>
          <t>修改默认Workbench布局</t>
        </is>
      </c>
      <c r="C6" s="8" t="inlineStr">
        <is>
          <t>Green实现</t>
        </is>
      </c>
      <c r="D6" s="2" t="inlineStr">
        <is>
          <t>客户端基础</t>
        </is>
      </c>
      <c r="E6" s="10" t="inlineStr">
        <is>
          <t>P1</t>
        </is>
      </c>
      <c r="F6" s="5" t="inlineStr">
        <is>
          <t>前端</t>
        </is>
      </c>
      <c r="G6" s="5" t="n">
        <v>2</v>
      </c>
      <c r="H6" s="5" t="inlineStr">
        <is>
          <t>2026-W15</t>
        </is>
      </c>
      <c r="I6" s="5" t="inlineStr">
        <is>
          <t>2026-W15</t>
        </is>
      </c>
      <c r="J6" s="2" t="inlineStr">
        <is>
          <t>MVP-CLI-004</t>
        </is>
      </c>
      <c r="K6" s="6" t="inlineStr">
        <is>
          <t>未开始</t>
        </is>
      </c>
      <c r="L6" s="2" t="inlineStr">
        <is>
          <t>【目标】将VS Code默认布局改造为织梦笔小说创作工作台布局
【源文件路径】src/vs/workbench/browser/, src/vs/workbench/contrib/activitybar/
【实现步骤】
1. 修改Activity Bar默认图标和顺序：
   - 大纲（📖）→ Story Explorer / 大纲视图
   - 分支（🌿）→ Branch Manager / 分支管理
   - 知识库（📚）→ Story Bible / 知识库
   - AI（🤖）→ AI Assistant / AI助手
   - 统计（📊）→ Analytics / 数据统计
   - 设置（⚙️）→ Settings / 设置
2. 修改默认侧边栏：
   - 默认展开"大纲"视图
   - 隐藏Explorer文件树（或替换为Story Explorer）
3. 修改底部面板：
   - 默认面板：AI日志 / 一致性报告 / 版本历史
   - 移除Terminal/Problems/Output面板
4. 修改状态栏：
   - 左侧：显示当前章节名 / 字数统计
   - 中间：显示当前AI模型 / Token用量
   - 右侧：显示一致性状态 / 保存状态
5. 修改欢迎页：
   - 替换为织梦笔欢迎页，显示最近作品和快速操作
【关键代码结构】
- src/vs/workbench/browser/parts/activitybar/activitybarActions.ts → 修改Activity Bar项
- src/vs/workbench/browser/parts/statusbar/statusbarPart.ts → 修改状态栏
- src/vs/workbench/contrib/welcome/gettingStarted/ → 修改欢迎页
【运行命令】yarn watch &amp;&amp; yarn electron
【预期结果】启动后显示织梦笔定制布局，Activity Bar图标和顺序正确</t>
        </is>
      </c>
      <c r="M6" s="2" t="inlineStr">
        <is>
          <t>Activity Bar显示6个定制图标，侧边栏默认展开大纲，状态栏显示字数/模型/一致性</t>
        </is>
      </c>
      <c r="N6" s="2" t="inlineStr"/>
    </row>
    <row r="7" ht="200" customHeight="1">
      <c r="A7" s="7" t="inlineStr">
        <is>
          <t>MVP-CLI-006</t>
        </is>
      </c>
      <c r="B7" s="7" t="inlineStr">
        <is>
          <t>配置测试框架</t>
        </is>
      </c>
      <c r="C7" s="3" t="inlineStr">
        <is>
          <t>基础设施</t>
        </is>
      </c>
      <c r="D7" s="7" t="inlineStr">
        <is>
          <t>客户端基础</t>
        </is>
      </c>
      <c r="E7" s="4" t="inlineStr">
        <is>
          <t>P0</t>
        </is>
      </c>
      <c r="F7" s="9" t="inlineStr">
        <is>
          <t>全栈</t>
        </is>
      </c>
      <c r="G7" s="9" t="n">
        <v>1</v>
      </c>
      <c r="H7" s="9" t="inlineStr">
        <is>
          <t>2026-W14</t>
        </is>
      </c>
      <c r="I7" s="9" t="inlineStr">
        <is>
          <t>2026-W14</t>
        </is>
      </c>
      <c r="J7" s="7" t="inlineStr">
        <is>
          <t>MVP-CLI-001</t>
        </is>
      </c>
      <c r="K7" s="6" t="inlineStr">
        <is>
          <t>未开始</t>
        </is>
      </c>
      <c r="L7" s="7" t="inlineStr">
        <is>
          <t>【目标】配置VS Code Extension的单元测试和集成测试框架
【技术选型】Vitest + @vscode/test-electron
【配置文件路径】vitest.config.ts, src/vscode.d.ts
【具体步骤】
1. 安装测试依赖：
   npm install -D vitest @vitest/coverage-v8 @vscode/test-electron
2. 创建vitest.config.ts：
   - 配置test.include: ["extensions/**/*.test.ts", "src/**/*.test.ts"]
   - 配置coverage.provider: "v8"
   - 配置coverage.reporter: ["text", "html", "lcov"]
   - 配置test.environment: "node"
3. 创建测试示例文件extensions/dw-ai-assistant/__tests__/sample.test.ts：
   - describe("Sample Test Suite", () =&gt; { it("should pass", () =&gt; { expect(1+1).toBe(2); }); })
4. 配置package.json scripts：
   - "test": "vitest run"
   - "test:watch": "vitest"
   - "test:coverage": "vitest run --coverage"
   - "test:e2e": "vscode-test"
5. 配置CI集成（为GitHub Actions准备）
6. 运行测试验证框架可用
【配置内容】
// vitest.config.ts
import { defineConfig } from 'vitest/config';
export default defineConfig({
  test: {
    include: ['extensions/**/*.test.ts'],
    coverage: { provider: 'v8', reporter: ['text', 'html'] },
  },
});
【验证命令】npm test
【预期结果】测试框架正确运行，示例测试通过，coverage报告生成</t>
        </is>
      </c>
      <c r="M7" s="7" t="inlineStr">
        <is>
          <t>Vitest测试框架配置完成，示例测试通过，coverage报告可生成</t>
        </is>
      </c>
      <c r="N7" s="7" t="inlineStr"/>
    </row>
    <row r="8" ht="200" customHeight="1">
      <c r="A8" s="2" t="inlineStr">
        <is>
          <t>MVP-CLI-007</t>
        </is>
      </c>
      <c r="B8" s="2" t="inlineStr">
        <is>
          <t>配置GitHub Actions CI</t>
        </is>
      </c>
      <c r="C8" s="3" t="inlineStr">
        <is>
          <t>基础设施</t>
        </is>
      </c>
      <c r="D8" s="2" t="inlineStr">
        <is>
          <t>客户端基础</t>
        </is>
      </c>
      <c r="E8" s="10" t="inlineStr">
        <is>
          <t>P1</t>
        </is>
      </c>
      <c r="F8" s="5" t="inlineStr">
        <is>
          <t>全栈</t>
        </is>
      </c>
      <c r="G8" s="5" t="n">
        <v>1</v>
      </c>
      <c r="H8" s="5" t="inlineStr">
        <is>
          <t>2026-W15</t>
        </is>
      </c>
      <c r="I8" s="5" t="inlineStr">
        <is>
          <t>2026-W15</t>
        </is>
      </c>
      <c r="J8" s="2" t="inlineStr">
        <is>
          <t>MVP-CLI-006</t>
        </is>
      </c>
      <c r="K8" s="6" t="inlineStr">
        <is>
          <t>未开始</t>
        </is>
      </c>
      <c r="L8" s="2" t="inlineStr">
        <is>
          <t>【目标】配置GitHub Actions持续集成流水线
【技术选型】GitHub Actions
【配置文件路径】.github/workflows/ci.yml
【具体步骤】
1. 创建.github/workflows/ci.yml
2. 配置触发条件：
   - push: branches: [main, develop]
   - pull_request: branches: [main]
3. 配置lint job：
   - runs-on: ubuntu-latest
   - steps: checkout → setup Node.js 20 → yarn install → yarn lint
4. 配置test job：
   - runs-on: ubuntu-latest
   - steps: checkout → setup Node.js 20 → yarn install → yarn test
   - 上传coverage报告为artifact
5. 配置build job：
   - runs-on: ubuntu-latest
   - steps: checkout → setup Node.js 20 → yarn install → yarn compile
6. 配置缓存加速：
   - actions/cache@v4 缓存 node_modules
   - 缓存 .yarn/cache
7. 配置矩阵测试（可选）：Node.js 20/21
【配置内容】
name: CI
on: { push: { branches: [main, develop] }, pull_request: { branches: [main] } }
jobs:
  lint: { runs-on: ubuntu-latest, steps: [checkout, setup-node@20, yarn install, yarn lint] }
  test: { runs-on: ubuntu-latest, steps: [checkout, setup-node@20, yarn install, yarn test, upload-coverage] }
  build: { runs-on: ubuntu-latest, steps: [checkout, setup-node@20, yarn install, yarn compile] }
【验证命令】推送代码到GitHub，查看Actions页面
【预期结果】CI流水线lint/test/build三个job全部通过</t>
        </is>
      </c>
      <c r="M8" s="2" t="inlineStr">
        <is>
          <t>GitHub Actions CI配置完成，push/PR触发lint/test/build三个job，全部通过</t>
        </is>
      </c>
      <c r="N8" s="2" t="inlineStr"/>
    </row>
    <row r="9" ht="200" customHeight="1">
      <c r="A9" s="7" t="inlineStr">
        <is>
          <t>MVP-SRV-001</t>
        </is>
      </c>
      <c r="B9" s="7" t="inlineStr">
        <is>
          <t>初始化Go微服务项目</t>
        </is>
      </c>
      <c r="C9" s="3" t="inlineStr">
        <is>
          <t>基础设施</t>
        </is>
      </c>
      <c r="D9" s="7" t="inlineStr">
        <is>
          <t>服务端基础</t>
        </is>
      </c>
      <c r="E9" s="4" t="inlineStr">
        <is>
          <t>P0</t>
        </is>
      </c>
      <c r="F9" s="9" t="inlineStr">
        <is>
          <t>后端</t>
        </is>
      </c>
      <c r="G9" s="9" t="n">
        <v>2</v>
      </c>
      <c r="H9" s="9" t="inlineStr">
        <is>
          <t>2026-W14</t>
        </is>
      </c>
      <c r="I9" s="9" t="inlineStr">
        <is>
          <t>2026-W14</t>
        </is>
      </c>
      <c r="J9" s="7" t="inlineStr"/>
      <c r="K9" s="6" t="inlineStr">
        <is>
          <t>未开始</t>
        </is>
      </c>
      <c r="L9" s="7" t="inlineStr">
        <is>
          <t>【目标】搭建织梦笔后端Go微服务项目基础架构
【技术选型】Go 1.22+, Gin, golangci-lint
【配置文件路径】go.mod, Makefile, cmd/, internal/, pkg/
【具体步骤】
1. 创建项目根目录server/
2. 初始化Go Module：go mod init github.com/dreamweaver-pen/server
3. 创建monorepo目录结构：
   server/
   ├── cmd/
   │   ├── user-service/main.go
   │   ├── work-service/main.go
   │   ├── chapter-service/main.go
   │   ├── branch-service/main.go
   │   └── bible-service/main.go
   ├── internal/
   │   ├── config/        # 配置管理
   │   ├── middleware/     # 中间件
   │   ├── models/        # 数据模型
   │   └── repository/    # 数据访问层
   ├── pkg/
   │   ├── response/      # 统一响应
   │   ├── logger/        # 日志
   │   └── utils/         # 工具函数
   ├── go.mod
   ├── go.sum
   ├── Makefile
   └── .golangci.yml
4. 配置Makefile：
   - make build: 编译所有服务
   - make test: 运行测试
   - make lint: 代码检查
   - make run SERVICE=user: 运行指定服务
5. 配置golangci-lint：.golangci.yml
6. 创建健康检查端点：GET /health → {"status": "ok", "service": "user-service"}
7. 验证编译和运行
【配置内容】
# Makefile
.PHONY: build test lint run
build: go build -o bin/ ./cmd/...
test: go test -v -cover ./...
lint: golangci-lint run
run: go run ./cmd/$(SERVICE)
【验证命令】make build &amp;&amp; make test &amp;&amp; make run SERVICE=user-service
【预期结果】所有服务编译成功，健康检查端点返回200</t>
        </is>
      </c>
      <c r="M9" s="7" t="inlineStr">
        <is>
          <t>Go项目结构创建完成，所有服务编译通过，健康检查返回200</t>
        </is>
      </c>
      <c r="N9" s="7" t="inlineStr"/>
    </row>
    <row r="10" ht="200" customHeight="1">
      <c r="A10" s="2" t="inlineStr">
        <is>
          <t>MVP-SRV-002</t>
        </is>
      </c>
      <c r="B10" s="2" t="inlineStr">
        <is>
          <t>初始化Python AI服务项目</t>
        </is>
      </c>
      <c r="C10" s="3" t="inlineStr">
        <is>
          <t>基础设施</t>
        </is>
      </c>
      <c r="D10" s="2" t="inlineStr">
        <is>
          <t>服务端基础</t>
        </is>
      </c>
      <c r="E10" s="4" t="inlineStr">
        <is>
          <t>P0</t>
        </is>
      </c>
      <c r="F10" s="5" t="inlineStr">
        <is>
          <t>AI工程师</t>
        </is>
      </c>
      <c r="G10" s="5" t="n">
        <v>2</v>
      </c>
      <c r="H10" s="5" t="inlineStr">
        <is>
          <t>2026-W14</t>
        </is>
      </c>
      <c r="I10" s="5" t="inlineStr">
        <is>
          <t>2026-W14</t>
        </is>
      </c>
      <c r="J10" s="2" t="inlineStr"/>
      <c r="K10" s="6" t="inlineStr">
        <is>
          <t>未开始</t>
        </is>
      </c>
      <c r="L10" s="2" t="inlineStr">
        <is>
          <t>【目标】搭建织梦笔AI引擎Python服务基础架构
【技术选型】Python 3.12+, FastAPI, uvicorn, pytest, ruff
【配置文件路径】ai-service/pyproject.toml, ai-service/app/
【具体步骤】
1. 创建ai-service/目录
2. 初始化项目：创建pyproject.toml
3. 创建目录结构：
   ai-service/
   ├── app/
   │   ├── __init__.py
   │   ├── main.py              # FastAPI应用入口
   │   ├── api/
   │   │   ├── __init__.py
   │   │   ├── routes/
   │   │   │   ├── ai.py        # AI生成端点
   │   │   │   ├── rag.py       # RAG端点
   │   │   │   └── consistency.py # 一致性检查端点
   │   │   └── deps.py          # 依赖注入
   │   ├── services/
   │   │   ├── __init__.py
   │   │   ├── ai_service.py    # AI服务核心
   │   │   ├── rag_service.py   # RAG服务
   │   │   ├── consistency/     # 一致性检查
   │   │   └── entity_extractor.py # 实体提取
   │   ├── adapters/
   │   │   ├── __init__.py
   │   │   ├── base.py          # 适配器基类
   │   │   ├── claude.py        # Claude适配器
   │   │   ├── deepseek.py      # DeepSeek适配器
   │   │   └── qwen.py          # 通义千问适配器
   │   ├── models/
   │   │   ├── __init__.py
   │   │   └── schemas.py       # Pydantic模型
   │   └── config.py            # 配置管理
   ├── tests/
   │   ├── conftest.py
   │   ├── test_ai.py
   │   └── test_rag.py
   ├── pyproject.toml
   └── ruff.toml
4. 配置pyproject.toml：
   - 依赖：fastapi, uvicorn, anthropic, openai, pymilvus, redis, elasticsearch
   - 开发依赖：pytest, pytest-asyncio, httpx, ruff, mypy
5. 配置ruff.toml：lint规则
6. 创建健康检查端点：GET /health
7. 验证uvicorn运行
【配置内容】
# pyproject.toml (关键部分)
[project]
name = "dreamweaver-ai"
requires-python = "&gt;=3.12"
dependencies = ["fastapi&gt;=0.110", "uvicorn&gt;=0.27", "anthropic&gt;=0.18", "openai&gt;=1.12"]
[tool.pytest.ini_options]
asyncio_mode = "auto"
【验证命令】cd ai-service &amp;&amp; uvicorn app.main:app --reload
【预期结果】FastAPI服务启动，/health返回200，Swagger文档可访问</t>
        </is>
      </c>
      <c r="M10" s="2" t="inlineStr">
        <is>
          <t>Python AI服务结构创建完成，FastAPI启动成功，/health返回200，Swagger可访问</t>
        </is>
      </c>
      <c r="N10" s="2" t="inlineStr"/>
    </row>
    <row r="11" ht="200" customHeight="1">
      <c r="A11" s="7" t="inlineStr">
        <is>
          <t>MVP-SRV-003</t>
        </is>
      </c>
      <c r="B11" s="7" t="inlineStr">
        <is>
          <t>搭建PostgreSQL + Schema迁移</t>
        </is>
      </c>
      <c r="C11" s="3" t="inlineStr">
        <is>
          <t>基础设施</t>
        </is>
      </c>
      <c r="D11" s="7" t="inlineStr">
        <is>
          <t>服务端基础</t>
        </is>
      </c>
      <c r="E11" s="4" t="inlineStr">
        <is>
          <t>P0</t>
        </is>
      </c>
      <c r="F11" s="9" t="inlineStr">
        <is>
          <t>后端</t>
        </is>
      </c>
      <c r="G11" s="9" t="n">
        <v>1</v>
      </c>
      <c r="H11" s="9" t="inlineStr">
        <is>
          <t>2026-W14</t>
        </is>
      </c>
      <c r="I11" s="9" t="inlineStr">
        <is>
          <t>2026-W14</t>
        </is>
      </c>
      <c r="J11" s="7" t="inlineStr"/>
      <c r="K11" s="6" t="inlineStr">
        <is>
          <t>未开始</t>
        </is>
      </c>
      <c r="L11" s="7" t="inlineStr">
        <is>
          <t>【目标】搭建PostgreSQL数据库并创建全部数据表
【技术选型】PostgreSQL 16, golang-migrate
【配置文件路径】docker-compose.yml, migrations/001_init_schema.sql
【具体步骤】
1. 在docker-compose.yml中添加PostgreSQL 16服务：
   - image: postgres:16-alpine
   - ports: 5432:5432
   - environment: POSTGRES_DB=dreamweaver, POSTGRES_USER=dw, POSTGRES_PASSWORD=dw_secret
   - volumes: pgdata:/var/lib/postgresql/data
2. 创建migrations/001_init_schema.sql，包含以下12张表：
   a. users: id, email, password_hash, nickname, avatar_url, created_at, updated_at
   b. user_settings: id, user_id, default_model, writing_style, auto_save_interval
   c. user_model_configs: id, user_id, model_id, api_key_encrypted, is_active
   d. works: id, user_id, title, genre, description, status, word_count, created_at, updated_at
   e. chapters: id, work_id, volume_number, chapter_number, title, content, status, word_count, branch_id, created_at, updated_at
   f. chapter_versions: id, chapter_id, version_number, content, word_count, commit_message, created_at
   g. branches: id, work_id, parent_id, name, branch_type, fork_point_chapter_id, fork_point_version_id, is_active, created_at
   h. story_bible_entries: id, work_id, entry_type, name, description, attributes_json, tags, created_at, updated_at
   i. story_bible_relations: id, work_id, source_entry_id, target_entry_id, relation_type, description
   j. ai_generation_logs: id, user_id, work_id, chapter_id, model_id, prompt_tokens, completion_tokens, latency_ms, created_at
   k. consistency_reports: id, work_id, chapter_id, warnings_json, score, created_at
   l. foreshadowing: id, work_id, chapter_id, description, status, resolved_chapter_id, created_at, updated_at
3. 配置golang-migrate工具
4. 执行迁移验证
【配置内容】
# docker-compose.yml (PostgreSQL部分)
postgres:
  image: postgres:16-alpine
  ports: ["5432:5432"]
  environment:
    POSTGRES_DB: dreamweaver
    POSTGRES_USER: dw
    POSTGRES_PASSWORD: dw_secret
  volumes: [pgdata:/var/lib/postgresql/data]
【验证命令】docker-compose up postgres &amp;&amp; migrate -path migrations -database "postgres://dw:dw_secret@localhost:5432/dreamweaver?sslmode=disable" up
【预期结果】PostgreSQL启动成功，12张表创建成功，外键关系正确</t>
        </is>
      </c>
      <c r="M11" s="7" t="inlineStr">
        <is>
          <t>PostgreSQL启动成功，12张表全部创建，外键关系正确，迁移可重复执行</t>
        </is>
      </c>
      <c r="N11" s="7" t="inlineStr"/>
    </row>
    <row r="12" ht="200" customHeight="1">
      <c r="A12" s="2" t="inlineStr">
        <is>
          <t>MVP-SRV-004</t>
        </is>
      </c>
      <c r="B12" s="2" t="inlineStr">
        <is>
          <t>搭建Redis缓存</t>
        </is>
      </c>
      <c r="C12" s="3" t="inlineStr">
        <is>
          <t>基础设施</t>
        </is>
      </c>
      <c r="D12" s="2" t="inlineStr">
        <is>
          <t>服务端基础</t>
        </is>
      </c>
      <c r="E12" s="10" t="inlineStr">
        <is>
          <t>P1</t>
        </is>
      </c>
      <c r="F12" s="5" t="inlineStr">
        <is>
          <t>后端</t>
        </is>
      </c>
      <c r="G12" s="5" t="n">
        <v>1</v>
      </c>
      <c r="H12" s="5" t="inlineStr">
        <is>
          <t>2026-W14</t>
        </is>
      </c>
      <c r="I12" s="5" t="inlineStr">
        <is>
          <t>2026-W14</t>
        </is>
      </c>
      <c r="J12" s="2" t="inlineStr"/>
      <c r="K12" s="6" t="inlineStr">
        <is>
          <t>未开始</t>
        </is>
      </c>
      <c r="L12" s="2" t="inlineStr">
        <is>
          <t>【目标】搭建Redis缓存服务，用于会话管理、Token缓存、限流计数
【技术选型】Redis 7, go-redis/v9 (Go), redis-py (Python)
【配置文件路径】docker-compose.yml, pkg/cache/redis.go, app/config.py
【具体步骤】
1. docker-compose.yml添加Redis 7服务：
   - image: redis:7-alpine
   - ports: 6379:6379
   - command: redis-server --maxmemory 256mb --maxmemory-policy allkeys-lru
   - volumes: redisdata:/data
2. Go集成go-redis/v9：
   - pkg/cache/redis.go → NewRedisClient(addr, password) → Get/Set/Del/Expire
   - 配置连接池：PoolSize=10, MinIdleConns=2
3. Python集成redis-py：
   - app/config.py → REDIS_URL配置
   - app/services/cache.py → get_redis_client() → get/set/delete
4. 编写缓存工具函数：
   - cache_get(key) → Optional[bytes]
   - cache_set(key, value, ttl) → bool
   - cache_delete(key) → bool
   - cache_incr(key) → int（用于限流计数）
5. 验证读写正常
【配置内容】
# Go连接配置
redis.NewClient(&amp;redis.Options{
    Addr:     "localhost:6379",
    Password: "",
    PoolSize: 10,
    MinIdleConns: 2,
})
【验证命令】docker-compose up redis &amp;&amp; redis-cli ping → PONG
【预期结果】Redis启动成功，Go和Python客户端均可正常读写</t>
        </is>
      </c>
      <c r="M12" s="2" t="inlineStr">
        <is>
          <t>Redis启动成功，Go/Python客户端读写正常，连接池配置生效</t>
        </is>
      </c>
      <c r="N12" s="2" t="inlineStr"/>
    </row>
    <row r="13" ht="200" customHeight="1">
      <c r="A13" s="7" t="inlineStr">
        <is>
          <t>MVP-SRV-005</t>
        </is>
      </c>
      <c r="B13" s="7" t="inlineStr">
        <is>
          <t>搭建RabbitMQ消息队列</t>
        </is>
      </c>
      <c r="C13" s="3" t="inlineStr">
        <is>
          <t>基础设施</t>
        </is>
      </c>
      <c r="D13" s="7" t="inlineStr">
        <is>
          <t>服务端基础</t>
        </is>
      </c>
      <c r="E13" s="10" t="inlineStr">
        <is>
          <t>P1</t>
        </is>
      </c>
      <c r="F13" s="9" t="inlineStr">
        <is>
          <t>后端</t>
        </is>
      </c>
      <c r="G13" s="9" t="n">
        <v>1</v>
      </c>
      <c r="H13" s="9" t="inlineStr">
        <is>
          <t>2026-W15</t>
        </is>
      </c>
      <c r="I13" s="9" t="inlineStr">
        <is>
          <t>2026-W15</t>
        </is>
      </c>
      <c r="J13" s="7" t="inlineStr"/>
      <c r="K13" s="6" t="inlineStr">
        <is>
          <t>未开始</t>
        </is>
      </c>
      <c r="L13" s="7" t="inlineStr">
        <is>
          <t>【目标】搭建RabbitMQ消息队列，用于异步任务（AI生成、实体提取、一致性检查）
【技术选型】RabbitMQ 3.13, amqp091-go (Go), pika (Python)
【配置文件路径】docker-compose.yml, pkg/mq/rabbitmq.go, app/services/mq.py
【具体步骤】
1. docker-compose.yml添加RabbitMQ 3.13服务：
   - image: rabbitmq:3.13-management-alpine
   - ports: 5672:5672 (AMQP), 15672:15672 (管理界面)
   - environment: RABBITMQ_DEFAULT_USER=dw, RABBITMQ_DEFAULT_PASS=dw_secret
2. 定义Exchange和Queue：
   - Exchange: dw.direct (direct类型)
   - Queue: dw.chapter.saved → 章节保存后触发实体提取+一致性检查
   - Queue: dw.ai.generation.request → AI生成请求
   - Queue: dw.ai.generation.result → AI生成结果
   - Queue: dw.consistency.check.request → 一致性检查请求
   - Queue: dw.consistency.check.result → 一致性检查结果
3. Go集成amqp091-go：
   - pkg/mq/rabbitmq.go → NewRabbitMQClient() → Publish/Consume
   - 定义消息格式：JSON { task_type, payload, created_at }
4. Python集成pika：
   - app/services/mq.py → get_mq_connection() → publish/consume
5. 验证消息发布和消费
【配置内容】
# Queue绑定
dw.chapter.saved → routing_key: chapter.saved
dw.ai.generation.request → routing_key: ai.generation.request
dw.consistency.check.request → routing_key: consistency.check.request
【验证命令】docker-compose up rabbitmq → 访问 http://localhost:15672 管理界面
【预期结果】RabbitMQ启动成功，Exchange和Queue创建成功，消息发布消费正常</t>
        </is>
      </c>
      <c r="M13" s="7" t="inlineStr">
        <is>
          <t>RabbitMQ启动成功，管理界面可访问，消息发布消费正常</t>
        </is>
      </c>
      <c r="N13" s="7" t="inlineStr"/>
    </row>
    <row r="14" ht="200" customHeight="1">
      <c r="A14" s="2" t="inlineStr">
        <is>
          <t>MVP-SRV-006</t>
        </is>
      </c>
      <c r="B14" s="2" t="inlineStr">
        <is>
          <t>搭建Milvus向量数据库</t>
        </is>
      </c>
      <c r="C14" s="3" t="inlineStr">
        <is>
          <t>基础设施</t>
        </is>
      </c>
      <c r="D14" s="2" t="inlineStr">
        <is>
          <t>服务端基础</t>
        </is>
      </c>
      <c r="E14" s="4" t="inlineStr">
        <is>
          <t>P0</t>
        </is>
      </c>
      <c r="F14" s="5" t="inlineStr">
        <is>
          <t>AI工程师</t>
        </is>
      </c>
      <c r="G14" s="5" t="n">
        <v>1</v>
      </c>
      <c r="H14" s="5" t="inlineStr">
        <is>
          <t>2026-W15</t>
        </is>
      </c>
      <c r="I14" s="5" t="inlineStr">
        <is>
          <t>2026-W15</t>
        </is>
      </c>
      <c r="J14" s="2" t="inlineStr"/>
      <c r="K14" s="6" t="inlineStr">
        <is>
          <t>未开始</t>
        </is>
      </c>
      <c r="L14" s="2" t="inlineStr">
        <is>
          <t>【目标】搭建Milvus向量数据库，用于RAG语义检索
【技术选型】Milvus 2.4, pymilvus (Python)
【配置文件路径】docker-compose.yml, app/services/vector_store.py
【具体步骤】
1. docker-compose.yml添加Milvus 2.4服务：
   - image: milvusdb/milvus:v2.4.0
   - ports: 19530:19530 (gRPC), 9091:9091 (metrics)
   - environment: ETCD_ENDPOINTS=etcd:2379
   - 依赖：etcd + minio
2. Python集成pymilvus：
   - app/services/vector_store.py → VectorStore类
3. 创建Collection（dw_chapter_segments）：
   - id: INT64 (PK)
   - work_id: INT64
   - chapter_id: INT64
   - segment_index: INT64
   - content: VARCHAR(8192)
   - embedding: FLOAT_VECTOR(1536)  # text-embedding-3-large维度
   - Index: IVF_FLAT, nlist=1024
4. 创建Collection（dw_bible_entities）：
   - id: INT64 (PK)
   - work_id: INT64
   - entry_id: INT64
   - entry_type: VARCHAR(32)
   - name: VARCHAR(256)
   - description: VARCHAR(4096)
   - embedding: FLOAT_VECTOR(1536)
   - Index: IVF_FLAT, nlist=512
5. 编写向量CRUD工具函数：
   - insert_vectors(collection, data) → ids
   - search_vectors(collection, vector, top_k, filter) → results
   - delete_vectors(collection, ids)
6. 验证插入和检索
【配置内容】
# Collection Schema
dw_chapter_segments: { id, work_id, chapter_id, segment_index, content, embedding(1536) }
dw_bible_entities: { id, work_id, entry_id, entry_type, name, description, embedding(1536) }
【验证命令】python -c "from pymilvus import connections; connections.connect(); print('OK')"
【预期结果】Milvus启动成功，两个Collection创建成功，向量插入和检索正常</t>
        </is>
      </c>
      <c r="M14" s="2" t="inlineStr">
        <is>
          <t>Milvus启动成功，两个Collection创建，向量插入和语义检索正常</t>
        </is>
      </c>
      <c r="N14" s="2" t="inlineStr"/>
    </row>
    <row r="15" ht="200" customHeight="1">
      <c r="A15" s="7" t="inlineStr">
        <is>
          <t>MVP-SRV-007</t>
        </is>
      </c>
      <c r="B15" s="7" t="inlineStr">
        <is>
          <t>搭建Elasticsearch</t>
        </is>
      </c>
      <c r="C15" s="3" t="inlineStr">
        <is>
          <t>基础设施</t>
        </is>
      </c>
      <c r="D15" s="7" t="inlineStr">
        <is>
          <t>服务端基础</t>
        </is>
      </c>
      <c r="E15" s="10" t="inlineStr">
        <is>
          <t>P1</t>
        </is>
      </c>
      <c r="F15" s="9" t="inlineStr">
        <is>
          <t>后端</t>
        </is>
      </c>
      <c r="G15" s="9" t="n">
        <v>1</v>
      </c>
      <c r="H15" s="9" t="inlineStr">
        <is>
          <t>2026-W15</t>
        </is>
      </c>
      <c r="I15" s="9" t="inlineStr">
        <is>
          <t>2026-W15</t>
        </is>
      </c>
      <c r="J15" s="7" t="inlineStr"/>
      <c r="K15" s="6" t="inlineStr">
        <is>
          <t>未开始</t>
        </is>
      </c>
      <c r="L15" s="7" t="inlineStr">
        <is>
          <t>【目标】搭建Elasticsearch全文搜索引擎，用于知识库和章节内容搜索
【技术选型】Elasticsearch 8.x, olivere/elastic (Go), elasticsearch-py (Python)
【配置文件路径】docker-compose.yml, pkg/search/es.go, app/services/search.py
【具体步骤】
1. docker-compose.yml添加ES 8.x服务：
   - image: elasticsearch:8.12.0
   - ports: 9200:9200 (HTTP), 9300:9300 (Transport)
   - environment: discovery.type=single-node, xpack.security.enabled=false, ES_JAVA_OPTS=-Xms512m -Xmx512m
   - volumes: esdata:/usr/share/elasticsearch/data
2. Go集成olivere/elastic：
   - pkg/search/es.go → NewESClient(url) → Index/Search/Delete
3. Python集成elasticsearch-py：
   - app/services/search.py → get_es_client() → index/search
4. 创建索引模板：
   - dw_chapters: { work_id, chapter_id, title, content, chapter_number, updated_at }
     → content字段使用ik_max_word分词器
   - dw_bible: { work_id, entry_id, entry_type, name, description, tags }
     → name和description使用ik_max_word分词器
5. 验证索引和搜索
【配置内容】
# dw_chapters索引映射
{ "mappings": { "properties": { "work_id": { "type": "long" }, "content": { "type": "text", "analyzer": "ik_max_word" } } } }
【验证命令】curl http://localhost:9200/_cluster/health?pretty
【预期结果】ES启动成功，索引创建成功，中文分词和搜索正常</t>
        </is>
      </c>
      <c r="M15" s="7" t="inlineStr">
        <is>
          <t>Elasticsearch启动成功，索引创建成功，中文分词和全文搜索正常</t>
        </is>
      </c>
      <c r="N15" s="7" t="inlineStr"/>
    </row>
    <row r="16" ht="200" customHeight="1">
      <c r="A16" s="2" t="inlineStr">
        <is>
          <t>MVP-SRV-008</t>
        </is>
      </c>
      <c r="B16" s="2" t="inlineStr">
        <is>
          <t>搭建Kong API网关</t>
        </is>
      </c>
      <c r="C16" s="3" t="inlineStr">
        <is>
          <t>基础设施</t>
        </is>
      </c>
      <c r="D16" s="2" t="inlineStr">
        <is>
          <t>服务端基础</t>
        </is>
      </c>
      <c r="E16" s="10" t="inlineStr">
        <is>
          <t>P1</t>
        </is>
      </c>
      <c r="F16" s="5" t="inlineStr">
        <is>
          <t>后端</t>
        </is>
      </c>
      <c r="G16" s="5" t="n">
        <v>2</v>
      </c>
      <c r="H16" s="5" t="inlineStr">
        <is>
          <t>2026-W15</t>
        </is>
      </c>
      <c r="I16" s="5" t="inlineStr">
        <is>
          <t>2026-W15</t>
        </is>
      </c>
      <c r="J16" s="2" t="inlineStr">
        <is>
          <t>MVP-SRV-001</t>
        </is>
      </c>
      <c r="K16" s="6" t="inlineStr">
        <is>
          <t>未开始</t>
        </is>
      </c>
      <c r="L16" s="2" t="inlineStr">
        <is>
          <t>【目标】搭建Kong API网关，统一管理所有微服务API路由
【技术选型】Kong 3.6, PostgreSQL (Kong数据存储)
【配置文件路径】docker-compose.yml, kong/
【具体步骤】
1. docker-compose.yml添加Kong服务：
   - image: kong:3.6
   - ports: 8000:8000 (Proxy), 8443:8443 (Proxy SSL), 8001:8001 (Admin API)
   - environment: KONG_DATABASE=postgres, KONG_PG_HOST=kong-db
   - 依赖：kong-db (PostgreSQL)
2. 配置Service和Route：
   - Service: user-service → upstream: http://user-service:8001
     Route: /api/v1/auth/*, /api/v1/users/*
   - Service: work-service → upstream: http://work-service:8002
     Route: /api/v1/works/*
   - Service: chapter-service → upstream: http://chapter-service:8003
     Route: /api/v1/chapters/*
   - Service: branch-service → upstream: http://branch-service:8004
     Route: /api/v1/branches/*
   - Service: bible-service → upstream: http://bible-service:8005
     Route: /api/v1/bible/*
   - Service: ai-service → upstream: http://ai-service:8006
     Route: /api/v1/ai/*
3. 配置JWT认证Plugin：
   - 全局JWT Plugin
   - 配置issuer和secret
4. 配置限流Plugin：
   - rate-limiting: 100 req/min per consumer
5. 配置CORS：
   - 允许Origin: vscode-webview, localhost:3000
   - 允许Methods: GET, POST, PUT, DELETE
6. 验证API路由和认证
【配置内容】
# Kong配置（通过Admin API或declarative config）
services:
  - name: user-service, url: http://user-service:8001
  - name: ai-service, url: http://ai-service:8006
routes:
  - name: auth-route, service: user-service, paths: ["/api/v1/auth"]
  - name: ai-route, service: ai-service, paths: ["/api/v1/ai"]
plugins:
  - name: jwt, config: { claims_to_verify: ["exp"] }
  - name: rate-limiting, config: { minute: 100, policy: "local" }
  - name: cors, config: { origins: ["*"], methods: ["GET","POST","PUT","DELETE"] }
【验证命令】curl -I http://localhost:8000/api/v1/auth/health
【预期结果】Kong启动成功，API路由正确转发，JWT认证生效，限流生效</t>
        </is>
      </c>
      <c r="M16" s="2" t="inlineStr">
        <is>
          <t>Kong启动成功，所有微服务API路由正确，JWT认证和限流生效</t>
        </is>
      </c>
      <c r="N16" s="2" t="inlineStr"/>
    </row>
    <row r="17" ht="200" customHeight="1">
      <c r="A17" s="7" t="inlineStr">
        <is>
          <t>MVP-SRV-009</t>
        </is>
      </c>
      <c r="B17" s="7" t="inlineStr">
        <is>
          <t>配置Docker Compose开发环境</t>
        </is>
      </c>
      <c r="C17" s="3" t="inlineStr">
        <is>
          <t>基础设施</t>
        </is>
      </c>
      <c r="D17" s="7" t="inlineStr">
        <is>
          <t>服务端基础</t>
        </is>
      </c>
      <c r="E17" s="4" t="inlineStr">
        <is>
          <t>P0</t>
        </is>
      </c>
      <c r="F17" s="9" t="inlineStr">
        <is>
          <t>全栈</t>
        </is>
      </c>
      <c r="G17" s="9" t="n">
        <v>1</v>
      </c>
      <c r="H17" s="9" t="inlineStr">
        <is>
          <t>2026-W15</t>
        </is>
      </c>
      <c r="I17" s="9" t="inlineStr">
        <is>
          <t>2026-W15</t>
        </is>
      </c>
      <c r="J17" s="7" t="inlineStr">
        <is>
          <t>MVP-SRV-003,MVP-SRV-004,MVP-SRV-005</t>
        </is>
      </c>
      <c r="K17" s="6" t="inlineStr">
        <is>
          <t>未开始</t>
        </is>
      </c>
      <c r="L17" s="7" t="inlineStr">
        <is>
          <t>【目标】整合所有服务到Docker Compose开发环境，实现一键启动
【技术选型】Docker Compose v2
【配置文件路径】docker-compose.dev.yml, .env.example, Makefile
【具体步骤】
1. 创建docker-compose.dev.yml，整合所有服务：
   - postgres (PostgreSQL 16)
   - redis (Redis 7)
   - rabbitmq (RabbitMQ 3.13 + management)
   - milvus (Milvus 2.4 + etcd + minio)
   - elasticsearch (Elasticsearch 8.x)
   - kong (Kong 3.6 + kong-db)
   - user-service (Go, build from Dockerfile)
   - ai-service (Python, build from Dockerfile)
2. 配置网络：
   - dw-network: 所有服务共用
3. 配置卷：
   - pgdata, redisdata, esdata, milvus-data
4. 配置环境变量.env.example：
   - DATABASE_URL=postgres://dw:dw_secret@localhost:5432/dreamweaver
   - REDIS_URL=redis://localhost:6379
   - RABBITMQ_URL=amqp://dw:dw_secret@localhost:5672
   - MILVUS_HOST=localhost, MILVUS_PORT=19530
   - ELASTICSEARCH_URL=http://localhost:9200
   - ANTHROPIC_API_KEY=sk-ant-xxx
   - DEEPSEEK_API_KEY=sk-xxx
   - JWT_SECRET=your-jwt-secret-change-in-production
5. 配置健康检查：
   - 每个服务配置healthcheck
6. 编写Makefile快捷命令：
   - make dev: docker-compose -f docker-compose.dev.yml up
   - make test: 运行所有测试
   - make migrate: 执行数据库迁移
   - make down: 停止所有服务
   - make logs: 查看日志
7. 验证一键启动
【配置内容】
# Makefile
dev: docker-compose -f docker-compose.dev.yml up --build
test: cd server &amp;&amp; go test ./... &amp;&amp; cd ../ai-service &amp;&amp; pytest
migrate: migrate -path migrations -database "$(DATABASE_URL)" up
down: docker-compose -f docker-compose.dev.yml down
logs: docker-compose -f docker-compose.dev.yml logs -f
【验证命令】cp .env.example .env &amp;&amp; make dev
【预期结果】docker-compose up一键启动所有服务，所有健康检查通过</t>
        </is>
      </c>
      <c r="M17" s="7" t="inlineStr">
        <is>
          <t>Docker Compose一键启动所有服务，健康检查全部通过，Makefile命令可用</t>
        </is>
      </c>
      <c r="N17" s="7" t="inlineStr"/>
    </row>
    <row r="18" ht="200" customHeight="1">
      <c r="A18" s="2" t="inlineStr">
        <is>
          <t>MVP-SRV-010</t>
        </is>
      </c>
      <c r="B18" s="2" t="inlineStr">
        <is>
          <t>配置Kubernetes部署清单</t>
        </is>
      </c>
      <c r="C18" s="3" t="inlineStr">
        <is>
          <t>基础设施</t>
        </is>
      </c>
      <c r="D18" s="2" t="inlineStr">
        <is>
          <t>服务端基础</t>
        </is>
      </c>
      <c r="E18" s="11" t="inlineStr">
        <is>
          <t>P2</t>
        </is>
      </c>
      <c r="F18" s="5" t="inlineStr">
        <is>
          <t>后端</t>
        </is>
      </c>
      <c r="G18" s="5" t="n">
        <v>2</v>
      </c>
      <c r="H18" s="5" t="inlineStr">
        <is>
          <t>2026-W15</t>
        </is>
      </c>
      <c r="I18" s="5" t="inlineStr">
        <is>
          <t>2026-W15</t>
        </is>
      </c>
      <c r="J18" s="2" t="inlineStr">
        <is>
          <t>MVP-SRV-009</t>
        </is>
      </c>
      <c r="K18" s="6" t="inlineStr">
        <is>
          <t>未开始</t>
        </is>
      </c>
      <c r="L18" s="2" t="inlineStr">
        <is>
          <t>【目标】创建Kubernetes部署清单，用于生产环境部署
【技术选型】Kubernetes 1.29+, Helm (可选)
【配置文件路径】k8s/
【具体步骤】
1. 创建k8s/namespace.yaml：
   - name: dreamweaver
2. 创建各服务的Deployment+Service+HPA YAML：
   - k8s/user-service/deployment.yaml, service.yaml, hpa.yaml
   - k8s/ai-service/deployment.yaml, service.yaml, hpa.yaml
   - k8s/work-service/deployment.yaml, service.yaml, hpa.yaml
   - k8s/chapter-service/deployment.yaml, service.yaml, hpa.yaml
   - k8s/branch-service/deployment.yaml, service.yaml, hpa.yaml
   - k8s/bible-service/deployment.yaml, service.yaml, hpa.yaml
3. 每个Deployment配置：
   - replicas: 2
   - resources: requests { cpu: 100m, memory: 128Mi }, limits { cpu: 500m, memory: 512Mi }
   - livenessProbe: /health
   - readinessProbe: /health
   - envFrom: ConfigMap + Secret
4. 创建ConfigMap和Secret：
   - k8s/configmap.yaml: 非敏感配置
   - k8s/secret.yaml: 敏感配置（API Keys, JWT Secret）
5. 创建Ingress：
   - k8s/ingress.yaml: 域名路由配置
   - TLS配置
6. 编写Helm Chart（可选）：
   - k8s/helm/Chart.yaml, values.yaml, templates/
7. 验证kubectl apply成功
【配置内容】
# Deployment示例
apiVersion: apps/v1
kind: Deployment
metadata: { name: user-service, namespace: dreamweaver }
spec:
  replicas: 2
  template:
    spec:
      containers:
        - name: user-service
          image: dreamweaver/user-service:latest
          ports: [{ containerPort: 8001 }]
          resources: { requests: { cpu: 100m, memory: 128Mi }, limits: { cpu: 500m, memory: 512Mi } }
          livenessProbe: { httpGet: { path: /health, port: 8001 } }
【验证命令】kubectl apply -f k8s/ &amp;&amp; kubectl get pods -n dreamweaver
【预期结果】所有Pod正常运行，Service可访问，HPA自动扩缩容</t>
        </is>
      </c>
      <c r="M18" s="2" t="inlineStr">
        <is>
          <t>K8s清单创建完成，kubectl apply成功，所有Pod正常运行</t>
        </is>
      </c>
      <c r="N18" s="2" t="inlineStr"/>
    </row>
    <row r="19" ht="200" customHeight="1">
      <c r="A19" s="7" t="inlineStr">
        <is>
          <t>MVP-AUTH-001</t>
        </is>
      </c>
      <c r="B19" s="7" t="inlineStr">
        <is>
          <t>用户注册API - 测试</t>
        </is>
      </c>
      <c r="C19" s="4" t="inlineStr">
        <is>
          <t>Red测试</t>
        </is>
      </c>
      <c r="D19" s="7" t="inlineStr">
        <is>
          <t>用户系统</t>
        </is>
      </c>
      <c r="E19" s="4" t="inlineStr">
        <is>
          <t>P0</t>
        </is>
      </c>
      <c r="F19" s="9" t="inlineStr">
        <is>
          <t>后端</t>
        </is>
      </c>
      <c r="G19" s="9" t="n">
        <v>1</v>
      </c>
      <c r="H19" s="9" t="inlineStr">
        <is>
          <t>2026-W14</t>
        </is>
      </c>
      <c r="I19" s="9" t="inlineStr">
        <is>
          <t>2026-W14</t>
        </is>
      </c>
      <c r="J19" s="7" t="inlineStr">
        <is>
          <t>MVP-SRV-003</t>
        </is>
      </c>
      <c r="K19" s="6" t="inlineStr">
        <is>
          <t>未开始</t>
        </is>
      </c>
      <c r="L19" s="7" t="inlineStr">
        <is>
          <t>【目标】编写用户注册API的完整单元测试和集成测试
【测试框架】pytest + httpx
【测试文件路径】ai-service/tests/auth/test_register.py
【测试用例清单】
1. test_register_success：正常注册（邮箱+密码+昵称）→ 期望返回201 + JWT Token + 用户信息
   - 请求：POST /api/v1/auth/register {"email":"test@example.com","password":"Test@12345","nickname":"测试用户"}
   - 断言：status_code==201, response["access_token"]存在, response["user"]["email"]=="test@example.com"
2. test_register_duplicate_email：重复邮箱注册 → 期望返回409 Conflict
   - 先注册一个用户，再用相同邮箱注册
   - 断言：status_code==409, response["detail"]=="邮箱已注册"
3. test_register_weak_password：弱密码注册 → 期望返回422
   - 密码不足8位 → 断言：status_code==422
   - 密码无大写字母 → 断言：status_code==422
   - 密码无特殊字符 → 断言：status_code==422
4. test_register_invalid_email：无效邮箱格式 → 期望返回422
   - 请求：{"email":"invalid","password":"Test@12345","nickname":"测试"}
   - 断言：status_code==422
5. test_register_empty_fields：空字段 → 期望返回422
   - 缺少email/password/nickname各测试一次
6. test_register_password_hashed：验证密码已哈希存储
   - 注册后查询数据库，确认password_hash不是明文
   - 断言：password_hash != "Test@12345", password_hash.startswith("$2b$")
7. test_register_token_structure：验证JWT Token结构
   - 解码access_token，验证payload包含user_id, exp, iat
   - 验证access_token过期时间为24h
   - 验证refresh_token过期时间为7d
【Mock依赖】
- Mock PostgreSQL数据库（使用pytest fixture创建测试数据库）
- Mock邮件发送服务（注册确认邮件）
【断言要点】
- 状态码正确（201/409/422）
- JWT Token格式正确（三段式base64）
- 密码使用bcrypt哈希（$2b$开头）
- 用户信息返回正确（email, nickname, id）
- 错误信息不泄露敏感信息
【运行命令】cd ai-service &amp;&amp; pytest tests/auth/test_register.py -v
【预期结果】所有7个测试用例通过</t>
        </is>
      </c>
      <c r="M19" s="7" t="inlineStr">
        <is>
          <t>7个测试用例全部通过，覆盖正常注册、重复邮箱、弱密码、无效邮箱、空字段、密码哈希、Token结构</t>
        </is>
      </c>
      <c r="N19" s="7" t="inlineStr"/>
    </row>
    <row r="20" ht="200" customHeight="1">
      <c r="A20" s="2" t="inlineStr">
        <is>
          <t>MVP-AUTH-002</t>
        </is>
      </c>
      <c r="B20" s="2" t="inlineStr">
        <is>
          <t>用户注册API - 实现</t>
        </is>
      </c>
      <c r="C20" s="8" t="inlineStr">
        <is>
          <t>Green实现</t>
        </is>
      </c>
      <c r="D20" s="2" t="inlineStr">
        <is>
          <t>用户系统</t>
        </is>
      </c>
      <c r="E20" s="4" t="inlineStr">
        <is>
          <t>P0</t>
        </is>
      </c>
      <c r="F20" s="5" t="inlineStr">
        <is>
          <t>后端</t>
        </is>
      </c>
      <c r="G20" s="5" t="n">
        <v>2</v>
      </c>
      <c r="H20" s="5" t="inlineStr">
        <is>
          <t>2026-W14</t>
        </is>
      </c>
      <c r="I20" s="5" t="inlineStr">
        <is>
          <t>2026-W14</t>
        </is>
      </c>
      <c r="J20" s="2" t="inlineStr">
        <is>
          <t>MVP-AUTH-001</t>
        </is>
      </c>
      <c r="K20" s="6" t="inlineStr">
        <is>
          <t>未开始</t>
        </is>
      </c>
      <c r="L20" s="2" t="inlineStr">
        <is>
          <t>【目标】实现用户注册API，使MVP-AUTH-001中所有测试通过
【源文件路径】ai-service/app/api/routes/auth.py, ai-service/app/services/auth_service.py
【API端点】POST /api/v1/auth/register
【数据模型】
- 请求体：RegisterRequest { email: EmailStr, password: str, nickname: str }
- 响应体：RegisterResponse { access_token: str, refresh_token: str, token_type: str, user: UserInfo }
- 数据库表：users { id, email, password_hash, nickname, avatar_url, created_at, updated_at }
【实现步骤】
1. 创建Pydantic模型（app/models/schemas.py）：
   - RegisterRequest: email(EmailStr), password(min_length=8, regex), nickname(min_length=1, max_length=32)
   - UserInfo: id, email, nickname, avatar_url, created_at
   - TokenResponse: access_token, refresh_token, token_type="bearer"
2. 实现密码验证逻辑：
   - 至少8位字符
   - 包含大写字母、小写字母、数字、特殊字符
   - 正则：^(?=.*[a-z])(?=.*[A-Z])(?=.*\d)(?=.*[@$!%*?&amp;])[A-Za-z\d@$!%*?&amp;]{8,}$
3. 实现auth_service.py：
   - async register_user(db, email, password, nickname) → User
   - bcrypt.hashpw(password, bcrypt.gensalt(rounds=12))
   - INSERT INTO users (email, password_hash, nickname) VALUES (...)
   - 检查邮箱唯一性（UNIQUE约束 + 显式查询）
4. 实现JWT生成：
   - generate_access_token(user_id) → JWT(exp=24h)
   - generate_refresh_token(user_id) → JWT(exp=7d)
   - 使用PyJWT库，HS256算法
5. 实现路由（app/api/routes/auth.py）：
   - @router.post("/register", status_code=201, response_model=TokenResponse)
   - 错误处理：409邮箱已存在, 422参数验证失败
6. 注册路由到FastAPI app
【关键代码结构】
- 入口函数签名：async def register(request: RegisterRequest, db: AsyncSession) → TokenResponse
- 核心逻辑：验证参数 → 检查邮箱唯一 → 哈希密码 → 插入用户 → 生成Token → 返回
- 错误处理：HTTPException(409, "邮箱已注册") / HTTPException(422, detail=validation_errors)
【依赖注入】
- 数据库Session（通过FastAPI Depends）
- JWT_SECRET配置（环境变量）
【运行命令】pytest tests/auth/test_register.py -v（验证所有测试通过）
【预期结果】所有7个测试用例通过</t>
        </is>
      </c>
      <c r="M20" s="2" t="inlineStr">
        <is>
          <t>用户注册API实现完成，所有测试通过，密码bcrypt哈希，JWT Token正确生成</t>
        </is>
      </c>
      <c r="N20" s="2" t="inlineStr"/>
    </row>
    <row r="21" ht="200" customHeight="1">
      <c r="A21" s="7" t="inlineStr">
        <is>
          <t>MVP-AUTH-003</t>
        </is>
      </c>
      <c r="B21" s="7" t="inlineStr">
        <is>
          <t>用户注册API - 验收</t>
        </is>
      </c>
      <c r="C21" s="12" t="inlineStr">
        <is>
          <t>Acceptance验收</t>
        </is>
      </c>
      <c r="D21" s="7" t="inlineStr">
        <is>
          <t>用户系统</t>
        </is>
      </c>
      <c r="E21" s="4" t="inlineStr">
        <is>
          <t>P0</t>
        </is>
      </c>
      <c r="F21" s="9" t="inlineStr">
        <is>
          <t>后端</t>
        </is>
      </c>
      <c r="G21" s="9" t="n">
        <v>1</v>
      </c>
      <c r="H21" s="9" t="inlineStr">
        <is>
          <t>2026-W14</t>
        </is>
      </c>
      <c r="I21" s="9" t="inlineStr">
        <is>
          <t>2026-W14</t>
        </is>
      </c>
      <c r="J21" s="7" t="inlineStr">
        <is>
          <t>MVP-AUTH-002</t>
        </is>
      </c>
      <c r="K21" s="6" t="inlineStr">
        <is>
          <t>未开始</t>
        </is>
      </c>
      <c r="L21" s="7" t="inlineStr">
        <is>
          <t>【目标】用户注册API的端到端验收测试
【测试范围】从HTTP请求到数据库写入的完整链路
【测试场景】
1. 正常流程：用户提交注册 → 系统返回Token → 验证Token可用 → 验证数据库有记录
   - POST /api/v1/auth/register → 201 → 解码Token → 查询数据库确认用户存在
2. 异常流程：重复邮箱注册 → 系统返回409 → 验证错误信息不泄露已有用户信息
   - 注册两次相同邮箱 → 第二次返回409 → 错误信息为"邮箱已注册"
3. 边界流程：密码刚好8位+满足所有规则 → 注册成功
   - 密码"Abc123!@" → 201成功
4. 安全流程：SQL注入测试 → 注册邮箱包含SQL注入字符串 → 系统正确处理
   - email: "test'; DROP TABLE users;--@example.com" → 422（邮箱格式无效）
5. 性能流程：注册响应时间 ≤ 200ms
   - 使用time测量API响应时间
【测试工具】httpx.AsyncClient + pytest-asyncio
【验收检查项】
□ 功能正确性：正常注册返回201+Token+用户信息
□ 错误处理：重复邮箱409，弱密码422，无效邮箱422
□ 安全：密码bcrypt哈希存储，JWT签名正确，错误信息不泄露敏感数据
□ 性能：注册API响应时间 ≤ 200ms（P95）
□ 数据完整性：数据库记录与返回信息一致
【代码审查要点】
□ 代码风格符合ruff规则（ruff check通过）
□ 无硬编码的密钥/URL（JWT_SECRET从环境变量读取）
□ 有适当的日志记录（注册成功/失败日志）
□ 有适当的错误处理（所有异常路径有处理）
□ SQL使用参数化查询（防SQL注入）
□ 密码哈希使用bcrypt rounds=12
【运行命令】pytest tests/auth/test_register.py -v --tb=short
【预期结果】所有验收项通过，代码审查无问题</t>
        </is>
      </c>
      <c r="M21" s="7" t="inlineStr">
        <is>
          <t>端到端验收通过，安全测试通过，性能≤200ms，代码审查无问题</t>
        </is>
      </c>
      <c r="N21" s="7" t="inlineStr"/>
    </row>
    <row r="22" ht="200" customHeight="1">
      <c r="A22" s="2" t="inlineStr">
        <is>
          <t>MVP-AUTH-004</t>
        </is>
      </c>
      <c r="B22" s="2" t="inlineStr">
        <is>
          <t>用户登录API - 测试</t>
        </is>
      </c>
      <c r="C22" s="4" t="inlineStr">
        <is>
          <t>Red测试</t>
        </is>
      </c>
      <c r="D22" s="2" t="inlineStr">
        <is>
          <t>用户系统</t>
        </is>
      </c>
      <c r="E22" s="4" t="inlineStr">
        <is>
          <t>P0</t>
        </is>
      </c>
      <c r="F22" s="5" t="inlineStr">
        <is>
          <t>后端</t>
        </is>
      </c>
      <c r="G22" s="5" t="n">
        <v>1</v>
      </c>
      <c r="H22" s="5" t="inlineStr">
        <is>
          <t>2026-W14</t>
        </is>
      </c>
      <c r="I22" s="5" t="inlineStr">
        <is>
          <t>2026-W14</t>
        </is>
      </c>
      <c r="J22" s="2" t="inlineStr">
        <is>
          <t>MVP-AUTH-003</t>
        </is>
      </c>
      <c r="K22" s="6" t="inlineStr">
        <is>
          <t>未开始</t>
        </is>
      </c>
      <c r="L22" s="2" t="inlineStr">
        <is>
          <t>【目标】编写用户登录API的完整测试
【测试框架】pytest + httpx
【测试文件路径】ai-service/tests/auth/test_login.py
【测试用例清单】
1. test_login_success：正常登录 → 期望返回200 + JWT Token
   - 先注册用户，再POST /api/v1/auth/login {"email":"test@example.com","password":"Test@12345"}
   - 断言：status_code==200, access_token存在, refresh_token存在
2. test_login_wrong_password：密码错误 → 期望返回401
   - 断言：status_code==401, detail=="邮箱或密码错误"
3. test_login_user_not_found：用户不存在 → 期望返回401
   - 断言：status_code==401（不区分用户不存在和密码错误，防止枚举攻击）
4. test_login_empty_fields：空字段 → 期望返回422
5. test_login_rate_limit：多次失败后锁定 → 期望返回429
   - 连续5次密码错误 → 第6次返回429 "账户已锁定，请15分钟后重试"
6. test_refresh_token：使用refresh_token刷新 → 期望返回新的access_token
   - POST /api/v1/auth/refresh {"refresh_token": "xxx"}
   - 断言：status_code==200, 新access_token与旧的不同
7. test_refresh_token_expired：过期refresh_token → 期望返回401
【Mock依赖】Mock PostgreSQL, Mock Redis（失败计数）
【断言要点】状态码正确，Token结构正确，失败计数正确，锁定机制生效
【运行命令】pytest tests/auth/test_login.py -v</t>
        </is>
      </c>
      <c r="M22" s="2" t="inlineStr">
        <is>
          <t>7个测试用例通过，覆盖正常登录、密码错误、用户不存在、锁定、Token刷新</t>
        </is>
      </c>
      <c r="N22" s="2" t="inlineStr"/>
    </row>
    <row r="23" ht="200" customHeight="1">
      <c r="A23" s="7" t="inlineStr">
        <is>
          <t>MVP-AUTH-005</t>
        </is>
      </c>
      <c r="B23" s="7" t="inlineStr">
        <is>
          <t>用户登录API - 实现</t>
        </is>
      </c>
      <c r="C23" s="8" t="inlineStr">
        <is>
          <t>Green实现</t>
        </is>
      </c>
      <c r="D23" s="7" t="inlineStr">
        <is>
          <t>用户系统</t>
        </is>
      </c>
      <c r="E23" s="4" t="inlineStr">
        <is>
          <t>P0</t>
        </is>
      </c>
      <c r="F23" s="9" t="inlineStr">
        <is>
          <t>后端</t>
        </is>
      </c>
      <c r="G23" s="9" t="n">
        <v>2</v>
      </c>
      <c r="H23" s="9" t="inlineStr">
        <is>
          <t>2026-W14</t>
        </is>
      </c>
      <c r="I23" s="9" t="inlineStr">
        <is>
          <t>2026-W14</t>
        </is>
      </c>
      <c r="J23" s="7" t="inlineStr">
        <is>
          <t>MVP-AUTH-004</t>
        </is>
      </c>
      <c r="K23" s="6" t="inlineStr">
        <is>
          <t>未开始</t>
        </is>
      </c>
      <c r="L23" s="7" t="inlineStr">
        <is>
          <t>【目标】实现用户登录API和Token刷新API
【源文件路径】ai-service/app/api/routes/auth.py, ai-service/app/services/auth_service.py
【API端点】POST /api/v1/auth/login, POST /api/v1/auth/refresh
【数据模型】
- LoginRequest: { email: EmailStr, password: str }
- RefreshRequest: { refresh_token: str }
【实现步骤】
1. 实现login逻辑：
   - 查询用户（SELECT * FROM users WHERE email = ?）
   - bcrypt.checkpw(password, stored_hash)
   - Redis记录失败次数（key: login_fail:{email}, TTL: 15min）
   - 失败≥5次 → 返回429
   - 成功 → 清除失败计数 → 生成JWT → 返回Token
2. 实现refresh逻辑：
   - 解码refresh_token → 验证签名和过期时间
   - 查询用户是否存在
   - 生成新access_token → 返回
3. 错误处理：
   - 401: 邮箱或密码错误（统一错误信息，不区分用户不存在和密码错误）
   - 429: 账户锁定
   - 401: refresh_token无效或过期
【关键代码结构】
async def login(request: LoginRequest, db: AsyncSession, redis: Redis) → TokenResponse
async def refresh_token(request: RefreshRequest, db: AsyncSession) → TokenResponse
【运行命令】pytest tests/auth/test_login.py -v</t>
        </is>
      </c>
      <c r="M23" s="7" t="inlineStr">
        <is>
          <t>登录API实现完成，失败锁定、Token刷新功能正常，所有测试通过</t>
        </is>
      </c>
      <c r="N23" s="7" t="inlineStr"/>
    </row>
    <row r="24" ht="200" customHeight="1">
      <c r="A24" s="2" t="inlineStr">
        <is>
          <t>MVP-AUTH-006</t>
        </is>
      </c>
      <c r="B24" s="2" t="inlineStr">
        <is>
          <t>用户登录API - 验收</t>
        </is>
      </c>
      <c r="C24" s="12" t="inlineStr">
        <is>
          <t>Acceptance验收</t>
        </is>
      </c>
      <c r="D24" s="2" t="inlineStr">
        <is>
          <t>用户系统</t>
        </is>
      </c>
      <c r="E24" s="4" t="inlineStr">
        <is>
          <t>P0</t>
        </is>
      </c>
      <c r="F24" s="5" t="inlineStr">
        <is>
          <t>后端</t>
        </is>
      </c>
      <c r="G24" s="5" t="n">
        <v>1</v>
      </c>
      <c r="H24" s="5" t="inlineStr">
        <is>
          <t>2026-W14</t>
        </is>
      </c>
      <c r="I24" s="5" t="inlineStr">
        <is>
          <t>2026-W14</t>
        </is>
      </c>
      <c r="J24" s="2" t="inlineStr">
        <is>
          <t>MVP-AUTH-005</t>
        </is>
      </c>
      <c r="K24" s="6" t="inlineStr">
        <is>
          <t>未开始</t>
        </is>
      </c>
      <c r="L24" s="2" t="inlineStr">
        <is>
          <t>【目标】用户登录API端到端验收
【测试范围】完整登录→Token刷新→安全测试链路
【测试场景】
1. 正常流程：注册→登录→使用Token访问受保护API→刷新Token→使用新Token访问
2. 异常流程：密码错误5次→锁定→等待15分钟→解锁
3. 安全测试：SQL注入、XSS（邮箱字段）、Token伪造
4. 性能测试：登录响应≤200ms
【测试工具】httpx.AsyncClient + pytest-asyncio
【验收检查项】
□ 功能正确性：登录返回Token，Token可用于认证
□ 安全：密码错误不区分用户不存在，失败锁定生效，Token签名正确
□ 性能：登录≤200ms，Token刷新≤100ms
□ 代码审查：无硬编码密钥，参数化查询，适当日志
【运行命令】pytest tests/auth/test_login.py -v</t>
        </is>
      </c>
      <c r="M24" s="2" t="inlineStr">
        <is>
          <t>登录验收通过，安全测试通过，性能达标，代码审查无问题</t>
        </is>
      </c>
      <c r="N24" s="2" t="inlineStr"/>
    </row>
    <row r="25" ht="200" customHeight="1">
      <c r="A25" s="7" t="inlineStr">
        <is>
          <t>MVP-AUTH-007</t>
        </is>
      </c>
      <c r="B25" s="7" t="inlineStr">
        <is>
          <t>OAuth第三方登录 - 测试</t>
        </is>
      </c>
      <c r="C25" s="4" t="inlineStr">
        <is>
          <t>Red测试</t>
        </is>
      </c>
      <c r="D25" s="7" t="inlineStr">
        <is>
          <t>用户系统</t>
        </is>
      </c>
      <c r="E25" s="10" t="inlineStr">
        <is>
          <t>P1</t>
        </is>
      </c>
      <c r="F25" s="9" t="inlineStr">
        <is>
          <t>后端</t>
        </is>
      </c>
      <c r="G25" s="9" t="n">
        <v>1</v>
      </c>
      <c r="H25" s="9" t="inlineStr">
        <is>
          <t>2026-W14</t>
        </is>
      </c>
      <c r="I25" s="9" t="inlineStr">
        <is>
          <t>2026-W14</t>
        </is>
      </c>
      <c r="J25" s="7" t="inlineStr">
        <is>
          <t>MVP-AUTH-003</t>
        </is>
      </c>
      <c r="K25" s="6" t="inlineStr">
        <is>
          <t>未开始</t>
        </is>
      </c>
      <c r="L25" s="7" t="inlineStr">
        <is>
          <t>【目标】编写OAuth第三方登录测试
【测试框架】pytest + httpx + respx（Mock HTTP）
【测试文件路径】ai-service/tests/auth/test_oauth.py
【测试用例清单】
1. test_wechat_oauth_callback：微信OAuth回调处理
   - Mock微信API返回access_token + userinfo
   - 断言：返回JWT Token，新用户创建成功
2. test_google_oauth_callback：Google OAuth回调
   - Mock Google API返回userinfo
   - 断言：返回JWT Token
3. test_oauth_new_user_auto_create：新用户自动创建
   - 首次OAuth登录 → 自动创建用户记录
   - 断言：数据库有新用户，nickname从OAuth provider获取
4. test_oauth_existing_user_login：已有用户直接登录
   - 已绑定的OAuth用户再次登录 → 直接返回Token
   - 断言：不创建重复用户
5. test_oauth_invalid_code：无效授权码 → 期望返回401
6. test_oauth_provider_not_supported：不支持的Provider → 期望返回400
【Mock依赖】Mock微信API、GoogleAPI（使用respx库）
【断言要点】Token返回正确，用户创建/查找正确，错误处理正确
【运行命令】pytest tests/auth/test_oauth.py -v</t>
        </is>
      </c>
      <c r="M25" s="7" t="inlineStr">
        <is>
          <t>6个OAuth测试用例通过，覆盖微信/Google登录、新用户创建、已有用户登录</t>
        </is>
      </c>
      <c r="N25" s="7" t="inlineStr"/>
    </row>
    <row r="26" ht="200" customHeight="1">
      <c r="A26" s="2" t="inlineStr">
        <is>
          <t>MVP-AUTH-008</t>
        </is>
      </c>
      <c r="B26" s="2" t="inlineStr">
        <is>
          <t>OAuth第三方登录 - 实现</t>
        </is>
      </c>
      <c r="C26" s="8" t="inlineStr">
        <is>
          <t>Green实现</t>
        </is>
      </c>
      <c r="D26" s="2" t="inlineStr">
        <is>
          <t>用户系统</t>
        </is>
      </c>
      <c r="E26" s="10" t="inlineStr">
        <is>
          <t>P1</t>
        </is>
      </c>
      <c r="F26" s="5" t="inlineStr">
        <is>
          <t>后端</t>
        </is>
      </c>
      <c r="G26" s="5" t="n">
        <v>2</v>
      </c>
      <c r="H26" s="5" t="inlineStr">
        <is>
          <t>2026-W14</t>
        </is>
      </c>
      <c r="I26" s="5" t="inlineStr">
        <is>
          <t>2026-W14</t>
        </is>
      </c>
      <c r="J26" s="2" t="inlineStr">
        <is>
          <t>MVP-AUTH-007</t>
        </is>
      </c>
      <c r="K26" s="6" t="inlineStr">
        <is>
          <t>未开始</t>
        </is>
      </c>
      <c r="L26" s="2" t="inlineStr">
        <is>
          <t>【目标】实现微信和Google OAuth第三方登录
【源文件路径】ai-service/app/api/routes/auth.py, ai-service/app/services/oauth_service.py
【API端点】
- GET /api/v1/auth/oauth/{provider} → 重定向到OAuth Provider
- GET /api/v1/auth/oauth/{provider}/callback → 处理回调
【实现步骤】
1. 创建OAuth配置：
   - WECHAT_APP_ID, WECHAT_APP_SECRET
   - GOOGLE_CLIENT_ID, GOOGLE_CLIENT_SECRET
2. 实现OAuthService：
   - get_authorization_url(provider) → str
   - handle_callback(provider, code) → TokenResponse
3. 微信OAuth流程：
   - 重定向到 https://open.weixin.qq.com/connect/qrconnect?appid=...&amp;redirect_uri=...&amp;response_type=code
   - 回调获取code → POST https://api.weixin.qq.com/sns/oauth2/access_token → 获取openid
   - POST https://api.weixin.qq.com/sns/userinfo → 获取昵称/头像
4. Google OAuth流程：
   - 重定向到 Google Authorization URL
   - 回调获取code → POST https://oauth2.googleapis.com/token → 获取access_token
   - GET https://www.googleapis.com/oauth2/v2/userinfo → 获取邮箱/昵称/头像
5. 用户关联逻辑：
   - 查找oauth_accounts表（provider_user_id + provider）
   - 不存在 → 创建新用户 + 创建oauth_account关联
   - 已存在 → 直接登录
6. 生成JWT返回
【运行命令】pytest tests/auth/test_oauth.py -v</t>
        </is>
      </c>
      <c r="M26" s="2" t="inlineStr">
        <is>
          <t>微信和Google OAuth登录实现完成，新用户自动创建，已有用户直接登录</t>
        </is>
      </c>
      <c r="N26" s="2" t="inlineStr"/>
    </row>
    <row r="27" ht="200" customHeight="1">
      <c r="A27" s="7" t="inlineStr">
        <is>
          <t>MVP-AUTH-009</t>
        </is>
      </c>
      <c r="B27" s="7" t="inlineStr">
        <is>
          <t>OAuth第三方登录 - 验收</t>
        </is>
      </c>
      <c r="C27" s="12" t="inlineStr">
        <is>
          <t>Acceptance验收</t>
        </is>
      </c>
      <c r="D27" s="7" t="inlineStr">
        <is>
          <t>用户系统</t>
        </is>
      </c>
      <c r="E27" s="10" t="inlineStr">
        <is>
          <t>P1</t>
        </is>
      </c>
      <c r="F27" s="9" t="inlineStr">
        <is>
          <t>后端</t>
        </is>
      </c>
      <c r="G27" s="9" t="n">
        <v>1</v>
      </c>
      <c r="H27" s="9" t="inlineStr">
        <is>
          <t>2026-W14</t>
        </is>
      </c>
      <c r="I27" s="9" t="inlineStr">
        <is>
          <t>2026-W14</t>
        </is>
      </c>
      <c r="J27" s="7" t="inlineStr">
        <is>
          <t>MVP-AUTH-008</t>
        </is>
      </c>
      <c r="K27" s="6" t="inlineStr">
        <is>
          <t>未开始</t>
        </is>
      </c>
      <c r="L27" s="7" t="inlineStr">
        <is>
          <t>【目标】OAuth第三方登录端到端验收
【测试范围】完整OAuth流程（重定向→授权→回调→登录）
【测试场景】
1. 微信OAuth完整流程（使用Mock Provider）
2. Google OAuth完整流程（使用Mock Provider）
3. 新用户自动创建验证
4. 已有用户直接登录验证
5. 用户拒绝授权 → 错误处理
【测试工具】httpx + respx
【验收检查项】
□ 功能正确性：OAuth流程完整，Token返回正确
□ 安全：state参数防CSRF，Token安全
□ 错误处理：授权失败/拒绝/超时
【运行命令】pytest tests/auth/test_oauth.py -v</t>
        </is>
      </c>
      <c r="M27" s="7" t="inlineStr">
        <is>
          <t>OAuth验收通过，微信/Google流程正常，安全措施到位</t>
        </is>
      </c>
      <c r="N27" s="7" t="inlineStr"/>
    </row>
    <row r="28" ht="200" customHeight="1">
      <c r="A28" s="2" t="inlineStr">
        <is>
          <t>MVP-AUTH-010</t>
        </is>
      </c>
      <c r="B28" s="2" t="inlineStr">
        <is>
          <t>用户设置API - 测试</t>
        </is>
      </c>
      <c r="C28" s="4" t="inlineStr">
        <is>
          <t>Red测试</t>
        </is>
      </c>
      <c r="D28" s="2" t="inlineStr">
        <is>
          <t>用户系统</t>
        </is>
      </c>
      <c r="E28" s="10" t="inlineStr">
        <is>
          <t>P1</t>
        </is>
      </c>
      <c r="F28" s="5" t="inlineStr">
        <is>
          <t>后端</t>
        </is>
      </c>
      <c r="G28" s="5" t="n">
        <v>1</v>
      </c>
      <c r="H28" s="5" t="inlineStr">
        <is>
          <t>2026-W14</t>
        </is>
      </c>
      <c r="I28" s="5" t="inlineStr">
        <is>
          <t>2026-W14</t>
        </is>
      </c>
      <c r="J28" s="2" t="inlineStr">
        <is>
          <t>MVP-AUTH-006</t>
        </is>
      </c>
      <c r="K28" s="6" t="inlineStr">
        <is>
          <t>未开始</t>
        </is>
      </c>
      <c r="L28" s="2" t="inlineStr">
        <is>
          <t>【目标】编写用户设置API测试
【测试框架】pytest + httpx
【测试文件路径】ai-service/tests/auth/test_settings.py
【测试用例清单】
1. test_get_user_profile：获取用户信息 → 200
2. test_update_nickname：更新昵称 → 200
3. test_update_avatar_url：更新头像URL → 200
4. test_get_user_settings：获取用户设置 → 200
5. test_update_default_model：更新默认AI模型 → 200
6. test_update_writing_preferences：更新写作偏好 → 200
7. test_unauthorized_access：未认证访问 → 401
8. test_cache_invalidation：更新设置后缓存失效
【Mock依赖】Mock PostgreSQL, Mock Redis
【运行命令】pytest tests/auth/test_settings.py -v</t>
        </is>
      </c>
      <c r="M28" s="2" t="inlineStr">
        <is>
          <t>8个用户设置测试用例通过</t>
        </is>
      </c>
      <c r="N28" s="2" t="inlineStr"/>
    </row>
    <row r="29" ht="200" customHeight="1">
      <c r="A29" s="7" t="inlineStr">
        <is>
          <t>MVP-AUTH-011</t>
        </is>
      </c>
      <c r="B29" s="7" t="inlineStr">
        <is>
          <t>用户设置API - 实现</t>
        </is>
      </c>
      <c r="C29" s="8" t="inlineStr">
        <is>
          <t>Green实现</t>
        </is>
      </c>
      <c r="D29" s="7" t="inlineStr">
        <is>
          <t>用户系统</t>
        </is>
      </c>
      <c r="E29" s="10" t="inlineStr">
        <is>
          <t>P1</t>
        </is>
      </c>
      <c r="F29" s="9" t="inlineStr">
        <is>
          <t>后端</t>
        </is>
      </c>
      <c r="G29" s="9" t="n">
        <v>2</v>
      </c>
      <c r="H29" s="9" t="inlineStr">
        <is>
          <t>2026-W14</t>
        </is>
      </c>
      <c r="I29" s="9" t="inlineStr">
        <is>
          <t>2026-W14</t>
        </is>
      </c>
      <c r="J29" s="7" t="inlineStr">
        <is>
          <t>MVP-AUTH-010</t>
        </is>
      </c>
      <c r="K29" s="6" t="inlineStr">
        <is>
          <t>未开始</t>
        </is>
      </c>
      <c r="L29" s="7" t="inlineStr">
        <is>
          <t>【目标】实现用户设置CRUD API
【源文件路径】ai-service/app/api/routes/users.py
【API端点】
- GET /api/v1/users/me → 获取用户信息
- PUT /api/v1/users/me → 更新用户信息（昵称/头像）
- GET /api/v1/users/me/settings → 获取用户设置
- PUT /api/v1/users/me/settings → 更新用户设置（默认模型/写作偏好）
- GET /api/v1/users/me/model-configs → 获取模型配置列表
- POST /api/v1/users/me/model-configs → 添加模型配置（BYOK）
- PUT /api/v1/users/me/model-configs/{id} → 更新模型配置
- DELETE /api/v1/users/me/model-configs/{id} → 删除模型配置
【实现步骤】
1. JWT认证中间件：从Header提取Bearer Token → 解码 → 获取user_id
2. 实现用户信息CRUD
3. 实现用户设置CRUD（Redis缓存，TTL=1h）
4. 实现模型配置CRUD（API Key加密存储）
5. 缓存失效：更新设置时删除Redis缓存
【运行命令】pytest tests/auth/test_settings.py -v</t>
        </is>
      </c>
      <c r="M29" s="7" t="inlineStr">
        <is>
          <t>用户设置API实现完成，Redis缓存生效，BYOK模型配置可用</t>
        </is>
      </c>
      <c r="N29" s="7" t="inlineStr"/>
    </row>
    <row r="30" ht="200" customHeight="1">
      <c r="A30" s="2" t="inlineStr">
        <is>
          <t>MVP-AUTH-012</t>
        </is>
      </c>
      <c r="B30" s="2" t="inlineStr">
        <is>
          <t>用户设置API - 验收</t>
        </is>
      </c>
      <c r="C30" s="12" t="inlineStr">
        <is>
          <t>Acceptance验收</t>
        </is>
      </c>
      <c r="D30" s="2" t="inlineStr">
        <is>
          <t>用户系统</t>
        </is>
      </c>
      <c r="E30" s="10" t="inlineStr">
        <is>
          <t>P1</t>
        </is>
      </c>
      <c r="F30" s="5" t="inlineStr">
        <is>
          <t>后端</t>
        </is>
      </c>
      <c r="G30" s="5" t="n">
        <v>1</v>
      </c>
      <c r="H30" s="5" t="inlineStr">
        <is>
          <t>2026-W14</t>
        </is>
      </c>
      <c r="I30" s="5" t="inlineStr">
        <is>
          <t>2026-W14</t>
        </is>
      </c>
      <c r="J30" s="2" t="inlineStr">
        <is>
          <t>MVP-AUTH-011</t>
        </is>
      </c>
      <c r="K30" s="6" t="inlineStr">
        <is>
          <t>未开始</t>
        </is>
      </c>
      <c r="L30" s="2" t="inlineStr">
        <is>
          <t>【目标】用户设置API端到端验收
【测试场景】
1. 设置CRUD完整流程
2. 缓存失效验证（更新后重新获取）
3. 并发更新处理（乐观锁）
4. API Key加密存储验证
【验收检查项】
□ 功能正确性：CRUD完整
□ 缓存：Redis缓存生效，更新后失效
□ 安全：API Key加密存储，未认证401
□ 性能：读取≤50ms（缓存命中）
【运行命令】pytest tests/auth/test_settings.py -v</t>
        </is>
      </c>
      <c r="M30" s="2" t="inlineStr">
        <is>
          <t>用户设置验收通过，缓存和安全机制正常</t>
        </is>
      </c>
      <c r="N30" s="2" t="inlineStr"/>
    </row>
    <row r="31" ht="200" customHeight="1">
      <c r="A31" s="7" t="inlineStr">
        <is>
          <t>MVP-EXT-001</t>
        </is>
      </c>
      <c r="B31" s="7" t="inlineStr">
        <is>
          <t>AI助手Extension骨架 - 测试</t>
        </is>
      </c>
      <c r="C31" s="4" t="inlineStr">
        <is>
          <t>Red测试</t>
        </is>
      </c>
      <c r="D31" s="7" t="inlineStr">
        <is>
          <t>AI助手Extension</t>
        </is>
      </c>
      <c r="E31" s="4" t="inlineStr">
        <is>
          <t>P0</t>
        </is>
      </c>
      <c r="F31" s="9" t="inlineStr">
        <is>
          <t>前端</t>
        </is>
      </c>
      <c r="G31" s="9" t="n">
        <v>1</v>
      </c>
      <c r="H31" s="9" t="inlineStr">
        <is>
          <t>2026-W16</t>
        </is>
      </c>
      <c r="I31" s="9" t="inlineStr">
        <is>
          <t>2026-W16</t>
        </is>
      </c>
      <c r="J31" s="7" t="inlineStr">
        <is>
          <t>MVP-CLI-005</t>
        </is>
      </c>
      <c r="K31" s="6" t="inlineStr">
        <is>
          <t>未开始</t>
        </is>
      </c>
      <c r="L31" s="7" t="inlineStr">
        <is>
          <t>【目标】编写dw-ai-assistant Extension骨架的单元测试
【测试框架】Vitest + @vscode/test-electron
【测试文件路径】extensions/dw-ai-assistant/__tests__/extension.test.ts
【测试用例清单】
1. test_activate_registers_commands：activate事件正确注册所有命令
   - Mock vscode.commands.registerCommand
   - 调用activate(context)
   - 断言registerCommand被调用6次（dw-ai.continue/dw-ai.expand/dw-ai.rewrite/dw-ai.dialogue/dw-ai.describe/dw-ai.reasoning）
2. test_deactivate_disposes：deactivate事件正确清理资源
   - 调用deactivate()
   - 断言所有disposable被dispose
3. test_command_dw_ai_continue：dw-ai.continue命令注册
   - 断言命令ID为"dw-ai.continue"
   - 断言命令handler为函数
4. test_command_dw_ai_expand：dw-ai.expand命令注册
5. test_command_dw_ai_rewrite：dw-ai.rewrite命令注册
6. test_command_dw_ai_dialogue：dw-ai.dialogue命令注册
7. test_command_dw_ai_describe：dw-ai.describe命令注册
8. test_command_dw_ai_reasoning：dw-ai.reasoning命令注册
【Mock依赖】
- Mock vscode API：vscode = { commands: { registerCommand: vi.fn() }, window: { showInformationMessage: vi.fn() } }
- Mock ExtensionContext：context = { subscriptions: { push: vi.fn() } }
【断言要点】
- activate后6个命令全部注册
- deactivate后所有disposable被清理
- 命令handler为可调用函数
【运行命令】npx vitest run extensions/dw-ai-assistant/__tests__/extension.test.ts</t>
        </is>
      </c>
      <c r="M31" s="7" t="inlineStr">
        <is>
          <t>8个测试用例通过，6个AI命令正确注册和清理</t>
        </is>
      </c>
      <c r="N31" s="7" t="inlineStr"/>
    </row>
    <row r="32" ht="200" customHeight="1">
      <c r="A32" s="2" t="inlineStr">
        <is>
          <t>MVP-EXT-002</t>
        </is>
      </c>
      <c r="B32" s="2" t="inlineStr">
        <is>
          <t>AI助手Extension骨架 - 实现</t>
        </is>
      </c>
      <c r="C32" s="8" t="inlineStr">
        <is>
          <t>Green实现</t>
        </is>
      </c>
      <c r="D32" s="2" t="inlineStr">
        <is>
          <t>AI助手Extension</t>
        </is>
      </c>
      <c r="E32" s="4" t="inlineStr">
        <is>
          <t>P0</t>
        </is>
      </c>
      <c r="F32" s="5" t="inlineStr">
        <is>
          <t>前端</t>
        </is>
      </c>
      <c r="G32" s="5" t="n">
        <v>1</v>
      </c>
      <c r="H32" s="5" t="inlineStr">
        <is>
          <t>2026-W16</t>
        </is>
      </c>
      <c r="I32" s="5" t="inlineStr">
        <is>
          <t>2026-W16</t>
        </is>
      </c>
      <c r="J32" s="2" t="inlineStr">
        <is>
          <t>MVP-EXT-001</t>
        </is>
      </c>
      <c r="K32" s="6" t="inlineStr">
        <is>
          <t>未开始</t>
        </is>
      </c>
      <c r="L32" s="2" t="inlineStr">
        <is>
          <t>【目标】实现dw-ai-assistant Extension骨架
【源文件路径】extensions/dw-ai-assistant/src/extension.ts
【实现步骤】
1. 创建extensions/dw-ai-assistant/目录结构：
   ├── src/
   │   ├── extension.ts        # 入口文件
   │   ├── AIService.ts        # AI通信服务
   │   ├── ContextService.ts   # 上下文管理
   │   └── commands/           # 命令处理器
   │       ├── continue.ts
   │       ├── expand.ts
   │       ├── rewrite.ts
   │       ├── dialogue.ts
   │       ├── describe.ts
   │       └── reasoning.ts
   ├── package.json
   ├── tsconfig.json
   └── __tests__/
2. 配置package.json：
   - name: "dw-ai-assistant"
   - displayName: "织梦笔AI助手"
   - activationEvents: ["onCommand:dw-ai.continue", "onCommand:dw-ai.expand", ...]
   - contributes.commands: 6个命令定义
   - contributes.keybindings: Ctrl+Shift+C → dw-ai.continue
3. 实现extension.ts：
   - export function activate(context: vscode.ExtensionContext)
   - 注册6个命令到context.subscriptions
   - export function deactivate() → 清理资源
4. 每个命令handler暂为空函数（后续任务实现）
【关键代码结构】
export function activate(context: vscode.ExtensionContext) {
  const commands = ['continue', 'expand', 'rewrite', 'dialogue', 'describe', 'reasoning'];
  commands.forEach(cmd =&gt; {
    const disposable = vscode.commands.registerCommand(`dw-ai.${cmd}`, () =&gt; {
      vscode.window.showInformationMessage(`AI ${cmd} triggered`);
    });
    context.subscriptions.push(disposable);
  });
}
【运行命令】yarn watch &amp;&amp; F5启动Extension Development Host</t>
        </is>
      </c>
      <c r="M32" s="2" t="inlineStr">
        <is>
          <t>Extension骨架实现完成，6个命令注册成功，F5可启动</t>
        </is>
      </c>
      <c r="N32" s="2" t="inlineStr"/>
    </row>
    <row r="33" ht="200" customHeight="1">
      <c r="A33" s="7" t="inlineStr">
        <is>
          <t>MVP-EXT-003</t>
        </is>
      </c>
      <c r="B33" s="7" t="inlineStr">
        <is>
          <t>AI助手Extension骨架 - 验收</t>
        </is>
      </c>
      <c r="C33" s="12" t="inlineStr">
        <is>
          <t>Acceptance验收</t>
        </is>
      </c>
      <c r="D33" s="7" t="inlineStr">
        <is>
          <t>AI助手Extension</t>
        </is>
      </c>
      <c r="E33" s="4" t="inlineStr">
        <is>
          <t>P0</t>
        </is>
      </c>
      <c r="F33" s="9" t="inlineStr">
        <is>
          <t>前端</t>
        </is>
      </c>
      <c r="G33" s="9" t="n">
        <v>1</v>
      </c>
      <c r="H33" s="9" t="inlineStr">
        <is>
          <t>2026-W16</t>
        </is>
      </c>
      <c r="I33" s="9" t="inlineStr">
        <is>
          <t>2026-W16</t>
        </is>
      </c>
      <c r="J33" s="7" t="inlineStr">
        <is>
          <t>MVP-EXT-002</t>
        </is>
      </c>
      <c r="K33" s="6" t="inlineStr">
        <is>
          <t>未开始</t>
        </is>
      </c>
      <c r="L33" s="7" t="inlineStr">
        <is>
          <t>【目标】AI助手Extension骨架端到端验收
【测试范围】Extension在VS Code中的完整加载和命令执行
【测试场景】
1. F5启动Extension Development Host → Extension正确加载
2. 命令面板（Ctrl+Shift+P）搜索"dw-ai" → 显示6个命令
3. 执行每个命令 → 显示对应信息提示
4. 卸载Extension → 无残留
【测试工具】手动验收 + VS Code Extension API
【验收检查项】
□ Extension加载无错误（Developer Tools Console无报错）
□ 6个命令在命令面板中可搜索到
□ 命令执行有响应
□ Extension卸载无残留（context.subscriptions清理）
□ 快捷键绑定生效（Ctrl+Shift+C等）
【运行命令】F5启动Extension Development Host</t>
        </is>
      </c>
      <c r="M33" s="7" t="inlineStr">
        <is>
          <t>Extension加载正常，6个命令可用，快捷键生效，无残留</t>
        </is>
      </c>
      <c r="N33" s="7" t="inlineStr"/>
    </row>
    <row r="34" ht="200" customHeight="1">
      <c r="A34" s="2" t="inlineStr">
        <is>
          <t>MVP-EXT-004</t>
        </is>
      </c>
      <c r="B34" s="2" t="inlineStr">
        <is>
          <t>AIService通信层 - 测试</t>
        </is>
      </c>
      <c r="C34" s="4" t="inlineStr">
        <is>
          <t>Red测试</t>
        </is>
      </c>
      <c r="D34" s="2" t="inlineStr">
        <is>
          <t>AI助手Extension</t>
        </is>
      </c>
      <c r="E34" s="4" t="inlineStr">
        <is>
          <t>P0</t>
        </is>
      </c>
      <c r="F34" s="5" t="inlineStr">
        <is>
          <t>前端</t>
        </is>
      </c>
      <c r="G34" s="5" t="n">
        <v>1</v>
      </c>
      <c r="H34" s="5" t="inlineStr">
        <is>
          <t>2026-W16</t>
        </is>
      </c>
      <c r="I34" s="5" t="inlineStr">
        <is>
          <t>2026-W16</t>
        </is>
      </c>
      <c r="J34" s="2" t="inlineStr">
        <is>
          <t>MVP-EXT-003</t>
        </is>
      </c>
      <c r="K34" s="6" t="inlineStr">
        <is>
          <t>未开始</t>
        </is>
      </c>
      <c r="L34" s="2" t="inlineStr">
        <is>
          <t>【目标】编写AIService通信层测试
【测试框架】Vitest
【测试文件路径】extensions/dw-ai-assistant/__tests__/AIService.test.ts
【测试用例清单】
1. test_generate_success：HTTP POST请求构建正确
   - Mock fetch返回200 + JSON { text: "续写内容", model_id: "claude-3", tokens_used: 150 }
   - 断言请求URL为http://localhost:8000/api/v1/ai/generate
   - 断言请求headers包含Authorization: Bearer xxx
   - 断言请求body包含messages, model, max_tokens
2. test_stream_generate：SSE流式响应解析
   - Mock fetch返回SSE流：
     data: {"type":"start"}\n
     data: {"type":"chunk","text":"他"}\n
     data: {"type":"chunk","text":"走"}\n
     data: {"type":"done","tokens_used":100}\n
   - 断言callback依次收到 "他", "走"
   - 断言最终返回tokens_used=100
3. test_error_network：网络错误处理
   - Mock fetch抛出TypeError
   - 断言返回error对象，message包含"网络错误"
4. test_error_401：401认证错误
   - Mock fetch返回401
   - 断言返回error，提示"API Key无效"
5. test_error_429：429限流错误
   - Mock fetch返回429 + Retry-After: 60
   - 断言返回error，提示"请求过于频繁，请60秒后重试"
6. test_error_500：500服务器错误
   - Mock fetch返回500
   - 断言返回error，提示"AI服务暂时不可用"
7. test_token_counting：Token计数
   - 输入中文文本"他走进了房间"（6个字符）
   - 断言Token计数约3（中文~2字符/token）
8. test_cache_hit：LRU缓存命中
   - 第一次generate → 缓存miss → 调用API
   - 第二次generate（相同prompt）→ 缓存hit → 不调用API
【Mock依赖】Mock global.fetch
【运行命令】npx vitest run extensions/dw-ai-assistant/__tests__/AIService.test.ts</t>
        </is>
      </c>
      <c r="M34" s="2" t="inlineStr">
        <is>
          <t>8个测试用例通过，覆盖HTTP请求、SSE流、错误处理、Token计数、缓存</t>
        </is>
      </c>
      <c r="N34" s="2" t="inlineStr"/>
    </row>
    <row r="35" ht="200" customHeight="1">
      <c r="A35" s="7" t="inlineStr">
        <is>
          <t>MVP-EXT-005</t>
        </is>
      </c>
      <c r="B35" s="7" t="inlineStr">
        <is>
          <t>AIService通信层 - 实现</t>
        </is>
      </c>
      <c r="C35" s="8" t="inlineStr">
        <is>
          <t>Green实现</t>
        </is>
      </c>
      <c r="D35" s="7" t="inlineStr">
        <is>
          <t>AI助手Extension</t>
        </is>
      </c>
      <c r="E35" s="4" t="inlineStr">
        <is>
          <t>P0</t>
        </is>
      </c>
      <c r="F35" s="9" t="inlineStr">
        <is>
          <t>前端</t>
        </is>
      </c>
      <c r="G35" s="9" t="n">
        <v>2</v>
      </c>
      <c r="H35" s="9" t="inlineStr">
        <is>
          <t>2026-W16</t>
        </is>
      </c>
      <c r="I35" s="9" t="inlineStr">
        <is>
          <t>2026-W16</t>
        </is>
      </c>
      <c r="J35" s="7" t="inlineStr">
        <is>
          <t>MVP-EXT-004</t>
        </is>
      </c>
      <c r="K35" s="6" t="inlineStr">
        <is>
          <t>未开始</t>
        </is>
      </c>
      <c r="L35" s="7" t="inlineStr">
        <is>
          <t>【目标】实现AIService通信层，支持HTTP请求和SSE流式响应
【源文件路径】extensions/dw-ai-assistant/src/AIService.ts
【实现步骤】
1. 创建AIService类：
   - constructor(config: { apiBaseUrl, apiKey, defaultModel })
   - private cache: LRUCache&lt;string, GenerateResult&gt;（容量100）
   - private retryCount = 3, retryDelay = 1000
2. 实现generate方法：
   - async generate(prompt: string, options: GenerateOptions): Promise&lt;GenerateResult&gt;
   - 构建请求：POST {apiBaseUrl}/api/v1/ai/generate
   - Headers: Authorization: Bearer {apiKey}, Content-Type: application/json
   - Body: { messages, model, max_tokens, temperature }
   - 缓存检查：hash(prompt + JSON.stringify(options)) → cache hit直接返回
   - 错误重试：指数退避（1s, 2s, 4s），仅对5xx和429重试
3. 实现streamGenerate方法：
   - async streamGenerate(prompt: string, options: GenerateOptions, callback: (chunk: string) =&gt; void): Promise&lt;StreamResult&gt;
   - 使用fetch获取Response
   - 使用ReadableStream reader读取SSE
   - 解析data:行 → JSON.parse → callback(text)
   - 处理event: start/chunk/done/error
4. 实现Token计数：
   - countTokens(text: string): number
   - 中文：Math.ceil(text.length / 2)
   - 英文：Math.ceil(text.split(/\s+/).length * 1.3)
5. 实现LRU缓存：
   - 简单Map实现，get时移到末尾，超过容量删除最旧
6. 错误处理：
   - 401 → "API Key无效，请检查设置"
   - 429 → "请求过于频繁，请{Retry-After}秒后重试"
   - 5xx → "AI服务暂时不可用，正在重试..."
   - network → "网络连接失败，请检查网络"
【关键代码结构】
class AIService {
  private cache: Map&lt;string, CacheEntry&gt;
  async generate(prompt, options): Promise&lt;GenerateResult&gt;
  async streamGenerate(prompt, options, callback): Promise&lt;StreamResult&gt;
  private buildRequest(prompt, options): RequestInit
  private parseSSE(response, callback): Promise&lt;StreamResult&gt;
  countTokens(text): number
}
【运行命令】npx vitest run extensions/dw-ai-assistant/__tests__/AIService.test.ts</t>
        </is>
      </c>
      <c r="M35" s="7" t="inlineStr">
        <is>
          <t>AIService实现完成，HTTP请求、SSE流、错误重试、Token计数、缓存均正常</t>
        </is>
      </c>
      <c r="N35" s="7" t="inlineStr"/>
    </row>
    <row r="36" ht="200" customHeight="1">
      <c r="A36" s="2" t="inlineStr">
        <is>
          <t>MVP-EXT-006</t>
        </is>
      </c>
      <c r="B36" s="2" t="inlineStr">
        <is>
          <t>AIService通信层 - 验收</t>
        </is>
      </c>
      <c r="C36" s="12" t="inlineStr">
        <is>
          <t>Acceptance验收</t>
        </is>
      </c>
      <c r="D36" s="2" t="inlineStr">
        <is>
          <t>AI助手Extension</t>
        </is>
      </c>
      <c r="E36" s="4" t="inlineStr">
        <is>
          <t>P0</t>
        </is>
      </c>
      <c r="F36" s="5" t="inlineStr">
        <is>
          <t>前端</t>
        </is>
      </c>
      <c r="G36" s="5" t="n">
        <v>1</v>
      </c>
      <c r="H36" s="5" t="inlineStr">
        <is>
          <t>2026-W16</t>
        </is>
      </c>
      <c r="I36" s="5" t="inlineStr">
        <is>
          <t>2026-W16</t>
        </is>
      </c>
      <c r="J36" s="2" t="inlineStr">
        <is>
          <t>MVP-EXT-005</t>
        </is>
      </c>
      <c r="K36" s="6" t="inlineStr">
        <is>
          <t>未开始</t>
        </is>
      </c>
      <c r="L36" s="2" t="inlineStr">
        <is>
          <t>【目标】AIService通信层端到端验收
【测试场景】
1. 与Mock Server集成测试 → generate返回正确结果
2. SSE流式响应正确解析 → chunk依次回调
3. 错误重试（3次指数退避）→ 5xx重试成功
4. 缓存命中/失效 → 相同prompt第二次命中缓存
5. Token计数准确 → 中英文混合文本计数合理
【测试工具】Vitest + Mock Server (msw或自建)
【验收检查项】
□ HTTP请求正确构建（URL/Headers/Body）
□ SSE流式响应正确解析
□ 错误重试机制生效（3次指数退避）
□ LRU缓存命中和失效正确
□ Token计数与实际大致吻合
【运行命令】npx vitest run extensions/dw-ai-assistant/__tests__/AIService.test.ts</t>
        </is>
      </c>
      <c r="M36" s="2" t="inlineStr">
        <is>
          <t>AIService验收通过，通信、流式、重试、缓存均正常</t>
        </is>
      </c>
      <c r="N36" s="2" t="inlineStr"/>
    </row>
    <row r="37" ht="200" customHeight="1">
      <c r="A37" s="7" t="inlineStr">
        <is>
          <t>MVP-EXT-007</t>
        </is>
      </c>
      <c r="B37" s="7" t="inlineStr">
        <is>
          <t>AI内联补全Provider - 测试</t>
        </is>
      </c>
      <c r="C37" s="4" t="inlineStr">
        <is>
          <t>Red测试</t>
        </is>
      </c>
      <c r="D37" s="7" t="inlineStr">
        <is>
          <t>AI助手Extension</t>
        </is>
      </c>
      <c r="E37" s="4" t="inlineStr">
        <is>
          <t>P0</t>
        </is>
      </c>
      <c r="F37" s="9" t="inlineStr">
        <is>
          <t>前端</t>
        </is>
      </c>
      <c r="G37" s="9" t="n">
        <v>1</v>
      </c>
      <c r="H37" s="9" t="inlineStr">
        <is>
          <t>2026-W16</t>
        </is>
      </c>
      <c r="I37" s="9" t="inlineStr">
        <is>
          <t>2026-W16</t>
        </is>
      </c>
      <c r="J37" s="7" t="inlineStr">
        <is>
          <t>MVP-EXT-006</t>
        </is>
      </c>
      <c r="K37" s="6" t="inlineStr">
        <is>
          <t>未开始</t>
        </is>
      </c>
      <c r="L37" s="7" t="inlineStr">
        <is>
          <t>【目标】编写AI内联补全Provider测试
【测试框架】Vitest
【测试文件路径】extensions/dw-ai-assistant/__tests__/InlineCompletionProvider.test.ts
【测试用例清单】
1. test_trigger_on_idle：2秒停顿后触发补全
   - Mock vscode.window.onDidChangeActiveTextEditor
   - 模拟用户输入后等待2秒
   - 断言provideInlineCompletionItems被调用
2. test_trigger_on_line_end：光标在行尾时触发
   - 光标在行尾 → 触发
   - 光标在行中间 → 不触发
3. test_completion_format：补全文本格式为灰色虚拟文本
   - 返回InlineCompletionItem { insertText: "续写内容" }
   - 断言insertText不为空
4. test_tab_accept：Tab键接受补全
   - VS Code内置行为，验证返回的InlineCompletionItem可被接受
5. test_partial_accept：Ctrl+→部分接受
   - 返回InlineCompletionItem支持range
6. test_context_collection：上下文收集（当前段落+前500字）
   - Mock editor.document.getText
   - 断言收集的上下文包含当前段落和前500字
7. test_no_trigger_during_rapid_typing：快速连续输入不触发
   - 模拟快速输入（间隔&lt;500ms）→ 不触发补全
【Mock依赖】Mock vscode API (editor, document, selection, position)
【运行命令】npx vitest run extensions/dw-ai-assistant/__tests__/InlineCompletionProvider.test.ts</t>
        </is>
      </c>
      <c r="M37" s="7" t="inlineStr">
        <is>
          <t>7个测试用例通过，覆盖触发条件、补全格式、上下文收集</t>
        </is>
      </c>
      <c r="N37" s="7" t="inlineStr"/>
    </row>
    <row r="38" ht="200" customHeight="1">
      <c r="A38" s="2" t="inlineStr">
        <is>
          <t>MVP-EXT-008</t>
        </is>
      </c>
      <c r="B38" s="2" t="inlineStr">
        <is>
          <t>AI内联补全Provider - 实现</t>
        </is>
      </c>
      <c r="C38" s="8" t="inlineStr">
        <is>
          <t>Green实现</t>
        </is>
      </c>
      <c r="D38" s="2" t="inlineStr">
        <is>
          <t>AI助手Extension</t>
        </is>
      </c>
      <c r="E38" s="4" t="inlineStr">
        <is>
          <t>P0</t>
        </is>
      </c>
      <c r="F38" s="5" t="inlineStr">
        <is>
          <t>前端</t>
        </is>
      </c>
      <c r="G38" s="5" t="n">
        <v>2</v>
      </c>
      <c r="H38" s="5" t="inlineStr">
        <is>
          <t>2026-W16</t>
        </is>
      </c>
      <c r="I38" s="5" t="inlineStr">
        <is>
          <t>2026-W16</t>
        </is>
      </c>
      <c r="J38" s="2" t="inlineStr">
        <is>
          <t>MVP-EXT-007</t>
        </is>
      </c>
      <c r="K38" s="6" t="inlineStr">
        <is>
          <t>未开始</t>
        </is>
      </c>
      <c r="L38" s="2" t="inlineStr">
        <is>
          <t>【目标】实现AI内联补全Provider
【源文件路径】extensions/dw-ai-assistant/src/providers/InlineCompletionProvider.ts
【实现步骤】
1. 注册InlineCompletionProvider：
   - vscode.languages.registerInlineCompletionItemProvider({ pattern: "**/*.txt", "**/*.md", "**/*.novel" }, provider)
2. 实现provideInlineCompletionItems：
   - 检查触发条件：光标在行尾 + 距上次输入≥2秒
   - 收集上下文：当前段落 + 前500字 + 知识库角色信息
   - 调用AIService.streamGenerate(prompt, options, callback)
   - 返回InlineCompletionItem列表
3. 实现debounce逻辑：
   - 使用setTimeout/clearTimeout
   - 用户输入时重置计时器
   - 2秒无输入后触发
4. 实现上下文收集：
   - getCurrentParagraph(editor): 获取光标所在段落
   - getPrecedingText(editor, maxChars=500): 获取光标前500字
   - getKnowledgeContext(workId): 从知识库获取相关角色/地点
5. 实现部分接受：
   - 返回InlineCompletionItem时设置range
   - VS Code原生支持Ctrl+→部分接受
【关键代码结构】
class DWInlineCompletionProvider implements vscode.InlineCompletionItemProvider {
  async provideInlineCompletionItems(document, position, context, token) {
    const editorText = this.collectContext(document, position);
    const completion = await this.aiService.generate(editorText, { max_tokens: 200 });
    return [new vscode.InlineCompletionItem(completion.text, new vscode.Range(...))];
  }
  private debounceTimer: NodeJS.Timeout;
  private collectContext(document, position): string
}
【运行命令】npx vitest run extensions/dw-ai-assistant/__tests__/InlineCompletionProvider.test.ts</t>
        </is>
      </c>
      <c r="M38" s="2" t="inlineStr">
        <is>
          <t>AI内联补全实现完成，2秒停顿触发，Tab接受，上下文收集正常</t>
        </is>
      </c>
      <c r="N38" s="2" t="inlineStr"/>
    </row>
    <row r="39" ht="200" customHeight="1">
      <c r="A39" s="7" t="inlineStr">
        <is>
          <t>MVP-EXT-009</t>
        </is>
      </c>
      <c r="B39" s="7" t="inlineStr">
        <is>
          <t>AI内联补全Provider - 验收</t>
        </is>
      </c>
      <c r="C39" s="12" t="inlineStr">
        <is>
          <t>Acceptance验收</t>
        </is>
      </c>
      <c r="D39" s="7" t="inlineStr">
        <is>
          <t>AI助手Extension</t>
        </is>
      </c>
      <c r="E39" s="4" t="inlineStr">
        <is>
          <t>P0</t>
        </is>
      </c>
      <c r="F39" s="9" t="inlineStr">
        <is>
          <t>前端</t>
        </is>
      </c>
      <c r="G39" s="9" t="n">
        <v>1</v>
      </c>
      <c r="H39" s="9" t="inlineStr">
        <is>
          <t>2026-W16</t>
        </is>
      </c>
      <c r="I39" s="9" t="inlineStr">
        <is>
          <t>2026-W16</t>
        </is>
      </c>
      <c r="J39" s="7" t="inlineStr">
        <is>
          <t>MVP-EXT-008</t>
        </is>
      </c>
      <c r="K39" s="6" t="inlineStr">
        <is>
          <t>未开始</t>
        </is>
      </c>
      <c r="L39" s="7" t="inlineStr">
        <is>
          <t>【目标】AI内联补全Provider端到端验收
【测试场景】
1. 编辑器输入文字停顿2秒 → 出现灰色AI补全
2. Tab接受补全 → 文本插入编辑器
3. Esc取消补全 → 灰色文本消失
4. Ctrl+→部分接受 → 插入部分文本
5. 快速连续输入 → 不触发补全
【测试工具】手动验收（F5 Extension Development Host）
【验收检查项】
□ 2秒停顿后出现灰色补全文本
□ Tab接受补全正确插入
□ Esc取消补全
□ 快速输入不触发
□ 上下文收集正确（包含前文和知识库）
【运行命令】F5启动Extension Development Host</t>
        </is>
      </c>
      <c r="M39" s="7" t="inlineStr">
        <is>
          <t>AI内联补全验收通过，触发/接受/取消/部分接受均正常</t>
        </is>
      </c>
      <c r="N39" s="7" t="inlineStr"/>
    </row>
    <row r="40" ht="200" customHeight="1">
      <c r="A40" s="2" t="inlineStr">
        <is>
          <t>MVP-EXT-010</t>
        </is>
      </c>
      <c r="B40" s="2" t="inlineStr">
        <is>
          <t>ContextService上下文管理 - 测试</t>
        </is>
      </c>
      <c r="C40" s="4" t="inlineStr">
        <is>
          <t>Red测试</t>
        </is>
      </c>
      <c r="D40" s="2" t="inlineStr">
        <is>
          <t>AI助手Extension</t>
        </is>
      </c>
      <c r="E40" s="4" t="inlineStr">
        <is>
          <t>P0</t>
        </is>
      </c>
      <c r="F40" s="5" t="inlineStr">
        <is>
          <t>前端</t>
        </is>
      </c>
      <c r="G40" s="5" t="n">
        <v>1</v>
      </c>
      <c r="H40" s="5" t="inlineStr">
        <is>
          <t>2026-W16</t>
        </is>
      </c>
      <c r="I40" s="5" t="inlineStr">
        <is>
          <t>2026-W16</t>
        </is>
      </c>
      <c r="J40" s="2" t="inlineStr">
        <is>
          <t>MVP-EXT-006</t>
        </is>
      </c>
      <c r="K40" s="6" t="inlineStr">
        <is>
          <t>未开始</t>
        </is>
      </c>
      <c r="L40" s="2" t="inlineStr">
        <is>
          <t>【目标】编写ContextService上下文管理测试
【测试框架】Vitest
【测试文件路径】extensions/dw-ai-assistant/__tests__/ContextService.test.ts
【测试用例清单】
1. test_collect_editor_context：收集当前编辑器上下文
   - Mock editor.document.getText() 返回500字文本
   - 断言返回的上下文包含当前段落和前500字
2. test_retrieve_knowledge_context：从知识库检索相关角色/地点
   - Mock API返回角色列表
   - 断言上下文包含角色名和描述
3. test_context_window_allocation：上下文窗口分配
   - 总Token预算8000
   - 断言分配比例：系统10%(800) + 知识库20%(1600) + 历史30%(2400) + 近期30%(2400) + 任务10%(800)
4. test_token_budget_control：Token预算控制
   - 输入超过预算的内容
   - 断言输出Token不超过预算
5. test_assemble_prompt：Prompt组装
   - 输入各部分上下文
   - 断言组装的Prompt格式正确（系统指令→知识库→历史→近期→用户指令）
6. test_empty_context：空上下文处理
   - 编辑器无内容时返回最小上下文
【Mock依赖】Mock vscode API, Mock HTTP API
【运行命令】npx vitest run extensions/dw-ai-assistant/__tests__/ContextService.test.ts</t>
        </is>
      </c>
      <c r="M40" s="2" t="inlineStr">
        <is>
          <t>6个测试用例通过，覆盖上下文收集、窗口分配、Token预算、Prompt组装</t>
        </is>
      </c>
      <c r="N40" s="2" t="inlineStr"/>
    </row>
    <row r="41" ht="200" customHeight="1">
      <c r="A41" s="7" t="inlineStr">
        <is>
          <t>MVP-EXT-011</t>
        </is>
      </c>
      <c r="B41" s="7" t="inlineStr">
        <is>
          <t>ContextService上下文管理 - 实现</t>
        </is>
      </c>
      <c r="C41" s="8" t="inlineStr">
        <is>
          <t>Green实现</t>
        </is>
      </c>
      <c r="D41" s="7" t="inlineStr">
        <is>
          <t>AI助手Extension</t>
        </is>
      </c>
      <c r="E41" s="4" t="inlineStr">
        <is>
          <t>P0</t>
        </is>
      </c>
      <c r="F41" s="9" t="inlineStr">
        <is>
          <t>前端</t>
        </is>
      </c>
      <c r="G41" s="9" t="n">
        <v>2</v>
      </c>
      <c r="H41" s="9" t="inlineStr">
        <is>
          <t>2026-W16</t>
        </is>
      </c>
      <c r="I41" s="9" t="inlineStr">
        <is>
          <t>2026-W16</t>
        </is>
      </c>
      <c r="J41" s="7" t="inlineStr">
        <is>
          <t>MVP-EXT-010</t>
        </is>
      </c>
      <c r="K41" s="6" t="inlineStr">
        <is>
          <t>未开始</t>
        </is>
      </c>
      <c r="L41" s="7" t="inlineStr">
        <is>
          <t>【目标】实现ContextService上下文管理服务
【源文件路径】extensions/dw-ai-assistant/src/ContextService.ts
【实现步骤】
1. 创建ContextService类：
   - constructor(aiService: AIService, knowledgeService: StoryBibleService)
2. 实现collectEditorContext(editor)：
   - 获取当前段落（从上一个空行到下一个空行）
   - 获取光标前500字
   - 获取当前章节标题
3. 实现retrieveKnowledgeContext(workId, entities)：
   - 调用知识库API搜索相关角色/地点
   - 格式化为"角色：张三（外貌：...，性格：...）"格式
4. 实现assemblePrompt(systemPrompt, knowledgeCtx, historyCtx, recentCtx, userInstruction)：
   - 按顺序组装：系统指令 → 知识库 → 历史 → 近期 → 用户指令
   - 使用分隔符区分各部分
5. 实现manageTokenBudget(totalBudget)：
   - 分配比例：10%+20%+30%+30%+10%
   - 超限时按优先级裁剪：系统(不可裁) &gt; 用户指令(不可裁) &gt; 知识库 &gt; 历史 &gt; 近期
   - 使用countTokens计算每部分Token数
【关键代码结构】
class ContextService {
  async collectContext(editor, workId, taskType): Promise&lt;AIContext&gt;
  private collectEditorContext(editor): EditorContext
  private retrieveKnowledgeContext(workId): KnowledgeContext
  assemblePrompt(ctx: AIContext): string
  manageTokenBudget(totalBudget: number, ctx: AIContext): AIContext
}
【运行命令】npx vitest run extensions/dw-ai-assistant/__tests__/ContextService.test.ts</t>
        </is>
      </c>
      <c r="M41" s="7" t="inlineStr">
        <is>
          <t>ContextService实现完成，上下文收集、分配、裁剪均正常</t>
        </is>
      </c>
      <c r="N41" s="7" t="inlineStr"/>
    </row>
    <row r="42" ht="200" customHeight="1">
      <c r="A42" s="2" t="inlineStr">
        <is>
          <t>MVP-EXT-012</t>
        </is>
      </c>
      <c r="B42" s="2" t="inlineStr">
        <is>
          <t>ContextService上下文管理 - 验收</t>
        </is>
      </c>
      <c r="C42" s="12" t="inlineStr">
        <is>
          <t>Acceptance验收</t>
        </is>
      </c>
      <c r="D42" s="2" t="inlineStr">
        <is>
          <t>AI助手Extension</t>
        </is>
      </c>
      <c r="E42" s="4" t="inlineStr">
        <is>
          <t>P0</t>
        </is>
      </c>
      <c r="F42" s="5" t="inlineStr">
        <is>
          <t>前端</t>
        </is>
      </c>
      <c r="G42" s="5" t="n">
        <v>1</v>
      </c>
      <c r="H42" s="5" t="inlineStr">
        <is>
          <t>2026-W16</t>
        </is>
      </c>
      <c r="I42" s="5" t="inlineStr">
        <is>
          <t>2026-W16</t>
        </is>
      </c>
      <c r="J42" s="2" t="inlineStr">
        <is>
          <t>MVP-EXT-011</t>
        </is>
      </c>
      <c r="K42" s="6" t="inlineStr">
        <is>
          <t>未开始</t>
        </is>
      </c>
      <c r="L42" s="2" t="inlineStr">
        <is>
          <t>【目标】ContextService端到端验收
【测试场景】
1. 编辑器有内容时收集上下文 → 包含当前段落和前文
2. 知识库有角色时自动注入 → Prompt包含角色信息
3. Token超限时智能裁剪 → 不超过预算，保留关键信息
4. 上下文格式正确 → AI可正确理解
【验收检查项】
□ 上下文收集完整（段落+前文+知识库）
□ Token预算控制正确
□ 裁剪策略合理
□ Prompt格式清晰
【运行命令】F5启动Extension Development Host</t>
        </is>
      </c>
      <c r="M42" s="2" t="inlineStr">
        <is>
          <t>ContextService验收通过，上下文管理和Token预算控制正常</t>
        </is>
      </c>
      <c r="N42" s="2" t="inlineStr"/>
    </row>
    <row r="43" ht="200" customHeight="1">
      <c r="A43" s="7" t="inlineStr">
        <is>
          <t>MVP-AI-001</t>
        </is>
      </c>
      <c r="B43" s="7" t="inlineStr">
        <is>
          <t>ClaudeAdapter - 测试</t>
        </is>
      </c>
      <c r="C43" s="4" t="inlineStr">
        <is>
          <t>Red测试</t>
        </is>
      </c>
      <c r="D43" s="7" t="inlineStr">
        <is>
          <t>AI引擎</t>
        </is>
      </c>
      <c r="E43" s="4" t="inlineStr">
        <is>
          <t>P0</t>
        </is>
      </c>
      <c r="F43" s="9" t="inlineStr">
        <is>
          <t>AI工程师</t>
        </is>
      </c>
      <c r="G43" s="9" t="n">
        <v>1</v>
      </c>
      <c r="H43" s="9" t="inlineStr">
        <is>
          <t>2026-W16</t>
        </is>
      </c>
      <c r="I43" s="9" t="inlineStr">
        <is>
          <t>2026-W16</t>
        </is>
      </c>
      <c r="J43" s="7" t="inlineStr">
        <is>
          <t>MVP-SRV-002</t>
        </is>
      </c>
      <c r="K43" s="6" t="inlineStr">
        <is>
          <t>未开始</t>
        </is>
      </c>
      <c r="L43" s="7" t="inlineStr">
        <is>
          <t>【目标】编写Claude模型适配器测试
【测试框架】pytest + pytest-asyncio + respx
【测试文件路径】ai-service/tests/adapters/test_claude.py
【测试用例清单】
1. test_generate_success：Mock Anthropic API返回200
   - Mock POST https://api.anthropic.com/v1/messages
   - 返回：{"content":[{"type":"text","text":"他走进了那间古老的房间..."}],"model":"claude-3-sonnet-20240229","usage":{"input_tokens":100,"output_tokens":150}}
   - 断言返回text="他走进了那间古老的房间..."
   - 断言返回model_id="claude-3-sonnet-20240229"
   - 断言返回tokens_used={"input":100,"output":150}
2. test_stream_success：Mock SSE流
   - Mock SSE返回多个event: content_block_delta
   - 断言yield chunks正确
3. test_count_tokens：验证Token计数逻辑
   - 输入messages列表 → 调用count_tokens API → 返回token数
4. test_health_check：验证健康检查
   - Mock API返回200 → 断言is_healthy=True
5. test_auth_error：API Key无效 → 401
   - 断言抛出AuthenticationError
6. test_rate_limit_error：配额不足 → 429
   - 断言抛出RateLimitError，包含retry_after
7. test_model_not_found：模型不存在 → 404
   - 断言抛出ModelNotFoundError
【Mock依赖】respx.mock → Mock Anthropic API
【运行命令】pytest tests/adapters/test_claude.py -v</t>
        </is>
      </c>
      <c r="M43" s="7" t="inlineStr">
        <is>
          <t>7个Claude适配器测试用例通过</t>
        </is>
      </c>
      <c r="N43" s="7" t="inlineStr"/>
    </row>
    <row r="44" ht="200" customHeight="1">
      <c r="A44" s="2" t="inlineStr">
        <is>
          <t>MVP-AI-002</t>
        </is>
      </c>
      <c r="B44" s="2" t="inlineStr">
        <is>
          <t>ClaudeAdapter - 实现</t>
        </is>
      </c>
      <c r="C44" s="8" t="inlineStr">
        <is>
          <t>Green实现</t>
        </is>
      </c>
      <c r="D44" s="2" t="inlineStr">
        <is>
          <t>AI引擎</t>
        </is>
      </c>
      <c r="E44" s="4" t="inlineStr">
        <is>
          <t>P0</t>
        </is>
      </c>
      <c r="F44" s="5" t="inlineStr">
        <is>
          <t>AI工程师</t>
        </is>
      </c>
      <c r="G44" s="5" t="n">
        <v>2</v>
      </c>
      <c r="H44" s="5" t="inlineStr">
        <is>
          <t>2026-W16</t>
        </is>
      </c>
      <c r="I44" s="5" t="inlineStr">
        <is>
          <t>2026-W16</t>
        </is>
      </c>
      <c r="J44" s="2" t="inlineStr">
        <is>
          <t>MVP-AI-001</t>
        </is>
      </c>
      <c r="K44" s="6" t="inlineStr">
        <is>
          <t>未开始</t>
        </is>
      </c>
      <c r="L44" s="2" t="inlineStr">
        <is>
          <t>【目标】实现Claude模型适配器
【源文件路径】ai-service/app/adapters/claude_adapter.py
【实现步骤】
1. 创建ClaudeAdapter类（继承BaseModelAdapter）：
   class ClaudeAdapter(BaseModelAdapter):
     model_id = "claude-3-sonnet-20240229"
     provider = "anthropic"
2. 实现generate方法：
   - async generate(messages, options) → GenerateResult
   - 使用anthropic.AsyncAnthropic(api_key=key)
   - 调用client.messages.create(model=model_id, system=system_prompt, messages=messages, max_tokens=max_tokens)
   - Claude的messages格式：[{"role":"user","content":"..."}]
   - system参数单独传递（Claude API要求）
   - 返回GenerateResult(text, model_id, tokens_used)
3. 实现stream方法：
   - async stream(messages, options) → AsyncGenerator[str, None]
   - 使用client.messages.stream()
   - yield每个text chunk
4. 实现count_tokens：
   - 使用client.messages.count_tokens()
5. 实现health_check：
   - 发送简单请求验证API Key有效
6. 错误处理：
   - anthropic.AuthenticationError → AuthenticationError
   - anthropic.RateLimitError → RateLimitError(retry_after)
   - anthropic.APIError → AIError
【关键代码结构】
class ClaudeAdapter(BaseModelAdapter):
    def __init__(self, api_key: str, model: str = "claude-3-sonnet-20240229"):
        self.client = anthropic.AsyncAnthropic(api_key=api_key)
        self.model = model
    async def generate(self, messages, options) → GenerateResult
    async def stream(self, messages, options) → AsyncGenerator
    async def count_tokens(self, messages) → int
    async def health_check(self) → bool
【运行命令】pytest tests/adapters/test_claude.py -v</t>
        </is>
      </c>
      <c r="M44" s="2" t="inlineStr">
        <is>
          <t>Claude适配器实现完成，生成/流式/计数/健康检查均正常</t>
        </is>
      </c>
      <c r="N44" s="2" t="inlineStr"/>
    </row>
    <row r="45" ht="200" customHeight="1">
      <c r="A45" s="7" t="inlineStr">
        <is>
          <t>MVP-AI-003</t>
        </is>
      </c>
      <c r="B45" s="7" t="inlineStr">
        <is>
          <t>ClaudeAdapter - 验收</t>
        </is>
      </c>
      <c r="C45" s="12" t="inlineStr">
        <is>
          <t>Acceptance验收</t>
        </is>
      </c>
      <c r="D45" s="7" t="inlineStr">
        <is>
          <t>AI引擎</t>
        </is>
      </c>
      <c r="E45" s="4" t="inlineStr">
        <is>
          <t>P0</t>
        </is>
      </c>
      <c r="F45" s="9" t="inlineStr">
        <is>
          <t>AI工程师</t>
        </is>
      </c>
      <c r="G45" s="9" t="n">
        <v>1</v>
      </c>
      <c r="H45" s="9" t="inlineStr">
        <is>
          <t>2026-W16</t>
        </is>
      </c>
      <c r="I45" s="9" t="inlineStr">
        <is>
          <t>2026-W16</t>
        </is>
      </c>
      <c r="J45" s="7" t="inlineStr">
        <is>
          <t>MVP-AI-002</t>
        </is>
      </c>
      <c r="K45" s="6" t="inlineStr">
        <is>
          <t>未开始</t>
        </is>
      </c>
      <c r="L45" s="7" t="inlineStr">
        <is>
          <t>【目标】Claude适配器端到端验收
【测试场景】
1. 真实Claude API调用（需有效API Key）
   - 生成中文小说文本 → 返回合理续写
2. 流式响应 → chunks正确yield
3. Token计数 → 与API返回一致
4. 错误处理 → API Key无效/配额不足正确处理
【测试工具】pytest + 真实API（标记为@pytest.mark.integration）
【验收检查项】
□ 中文小说文本生成质量合理
□ 流式响应正确
□ Token计数准确
□ 错误处理完善
【运行命令】pytest tests/adapters/test_claude.py -v -m integration</t>
        </is>
      </c>
      <c r="M45" s="7" t="inlineStr">
        <is>
          <t>Claude适配器验收通过，真实API调用正常</t>
        </is>
      </c>
      <c r="N45" s="7" t="inlineStr"/>
    </row>
    <row r="46" ht="200" customHeight="1">
      <c r="A46" s="2" t="inlineStr">
        <is>
          <t>MVP-AI-004</t>
        </is>
      </c>
      <c r="B46" s="2" t="inlineStr">
        <is>
          <t>DeepSeekAdapter - 测试</t>
        </is>
      </c>
      <c r="C46" s="4" t="inlineStr">
        <is>
          <t>Red测试</t>
        </is>
      </c>
      <c r="D46" s="2" t="inlineStr">
        <is>
          <t>AI引擎</t>
        </is>
      </c>
      <c r="E46" s="4" t="inlineStr">
        <is>
          <t>P0</t>
        </is>
      </c>
      <c r="F46" s="5" t="inlineStr">
        <is>
          <t>AI工程师</t>
        </is>
      </c>
      <c r="G46" s="5" t="n">
        <v>1</v>
      </c>
      <c r="H46" s="5" t="inlineStr">
        <is>
          <t>2026-W16</t>
        </is>
      </c>
      <c r="I46" s="5" t="inlineStr">
        <is>
          <t>2026-W16</t>
        </is>
      </c>
      <c r="J46" s="2" t="inlineStr">
        <is>
          <t>MVP-SRV-002</t>
        </is>
      </c>
      <c r="K46" s="6" t="inlineStr">
        <is>
          <t>未开始</t>
        </is>
      </c>
      <c r="L46" s="2" t="inlineStr">
        <is>
          <t>【目标】编写DeepSeek模型适配器测试
【测试框架】pytest + respx
【测试文件路径】ai-service/tests/adapters/test_deepseek.py
【测试用例清单】
1. test_generate_success：Mock DeepSeek API（OpenAI兼容格式）
   - Mock POST https://api.deepseek.com/v1/chat/completions
   - 返回OpenAI格式：{"choices":[{"message":{"content":"续写内容"}}],"model":"deepseek-chat","usage":{"prompt_tokens":100,"completion_tokens":150}}
   - 断言返回text, model_id, tokens_used
2. test_stream_success：Mock SSE流（OpenAI SSE格式）
3. test_chinese_generation：中文生成质量
4. test_error_handling：401/429/500错误
【Mock依赖】respx.mock
【运行命令】pytest tests/adapters/test_deepseek.py -v</t>
        </is>
      </c>
      <c r="M46" s="2" t="inlineStr">
        <is>
          <t>4个DeepSeek适配器测试用例通过</t>
        </is>
      </c>
      <c r="N46" s="2" t="inlineStr"/>
    </row>
    <row r="47" ht="200" customHeight="1">
      <c r="A47" s="7" t="inlineStr">
        <is>
          <t>MVP-AI-005</t>
        </is>
      </c>
      <c r="B47" s="7" t="inlineStr">
        <is>
          <t>DeepSeekAdapter - 实现</t>
        </is>
      </c>
      <c r="C47" s="8" t="inlineStr">
        <is>
          <t>Green实现</t>
        </is>
      </c>
      <c r="D47" s="7" t="inlineStr">
        <is>
          <t>AI引擎</t>
        </is>
      </c>
      <c r="E47" s="4" t="inlineStr">
        <is>
          <t>P0</t>
        </is>
      </c>
      <c r="F47" s="9" t="inlineStr">
        <is>
          <t>AI工程师</t>
        </is>
      </c>
      <c r="G47" s="9" t="n">
        <v>1</v>
      </c>
      <c r="H47" s="9" t="inlineStr">
        <is>
          <t>2026-W16</t>
        </is>
      </c>
      <c r="I47" s="9" t="inlineStr">
        <is>
          <t>2026-W16</t>
        </is>
      </c>
      <c r="J47" s="7" t="inlineStr">
        <is>
          <t>MVP-AI-004</t>
        </is>
      </c>
      <c r="K47" s="6" t="inlineStr">
        <is>
          <t>未开始</t>
        </is>
      </c>
      <c r="L47" s="7" t="inlineStr">
        <is>
          <t>【目标】实现DeepSeek模型适配器（OpenAI兼容API）
【源文件路径】ai-service/app/adapters/deepseek_adapter.py
【实现步骤】
1. 创建DeepSeekAdapter类（继承BaseModelAdapter）
2. 使用OpenAI兼容API格式：
   - base_url = "https://api.deepseek.com/v1"
   - model = "deepseek-chat"
   - 使用openai.AsyncOpenAI(api_key=key, base_url=base_url)
3. 实现generate/stream/count_tokens/health_check
4. 消息格式转换：统一格式 → OpenAI格式
5. 错误处理：适配OpenAI错误类型
【运行命令】pytest tests/adapters/test_deepseek.py -v</t>
        </is>
      </c>
      <c r="M47" s="7" t="inlineStr">
        <is>
          <t>DeepSeek适配器实现完成，OpenAI兼容格式正确</t>
        </is>
      </c>
      <c r="N47" s="7" t="inlineStr"/>
    </row>
    <row r="48" ht="200" customHeight="1">
      <c r="A48" s="2" t="inlineStr">
        <is>
          <t>MVP-AI-006</t>
        </is>
      </c>
      <c r="B48" s="2" t="inlineStr">
        <is>
          <t>DeepSeekAdapter - 验收</t>
        </is>
      </c>
      <c r="C48" s="12" t="inlineStr">
        <is>
          <t>Acceptance验收</t>
        </is>
      </c>
      <c r="D48" s="2" t="inlineStr">
        <is>
          <t>AI引擎</t>
        </is>
      </c>
      <c r="E48" s="4" t="inlineStr">
        <is>
          <t>P0</t>
        </is>
      </c>
      <c r="F48" s="5" t="inlineStr">
        <is>
          <t>AI工程师</t>
        </is>
      </c>
      <c r="G48" s="5" t="n">
        <v>1</v>
      </c>
      <c r="H48" s="5" t="inlineStr">
        <is>
          <t>2026-W16</t>
        </is>
      </c>
      <c r="I48" s="5" t="inlineStr">
        <is>
          <t>2026-W16</t>
        </is>
      </c>
      <c r="J48" s="2" t="inlineStr">
        <is>
          <t>MVP-AI-005</t>
        </is>
      </c>
      <c r="K48" s="6" t="inlineStr">
        <is>
          <t>未开始</t>
        </is>
      </c>
      <c r="L48" s="2" t="inlineStr">
        <is>
          <t>【目标】DeepSeek适配器端到端验收
【测试场景】
1. 真实DeepSeek API调用 → 中文推理能力验证
2. 流式响应正确
3. 中文小说生成质量
【验收检查项】
□ 中文推理能力正常
□ 流式响应正确
□ 生成质量合理
【运行命令】pytest tests/adapters/test_deepseek.py -v -m integration</t>
        </is>
      </c>
      <c r="M48" s="2" t="inlineStr">
        <is>
          <t>DeepSeek适配器验收通过</t>
        </is>
      </c>
      <c r="N48" s="2" t="inlineStr"/>
    </row>
    <row r="49" ht="200" customHeight="1">
      <c r="A49" s="7" t="inlineStr">
        <is>
          <t>MVP-AI-007</t>
        </is>
      </c>
      <c r="B49" s="7" t="inlineStr">
        <is>
          <t>QwenAdapter通义千问 - 测试</t>
        </is>
      </c>
      <c r="C49" s="4" t="inlineStr">
        <is>
          <t>Red测试</t>
        </is>
      </c>
      <c r="D49" s="7" t="inlineStr">
        <is>
          <t>AI引擎</t>
        </is>
      </c>
      <c r="E49" s="4" t="inlineStr">
        <is>
          <t>P0</t>
        </is>
      </c>
      <c r="F49" s="9" t="inlineStr">
        <is>
          <t>AI工程师</t>
        </is>
      </c>
      <c r="G49" s="9" t="n">
        <v>1</v>
      </c>
      <c r="H49" s="9" t="inlineStr">
        <is>
          <t>2026-W16</t>
        </is>
      </c>
      <c r="I49" s="9" t="inlineStr">
        <is>
          <t>2026-W16</t>
        </is>
      </c>
      <c r="J49" s="7" t="inlineStr">
        <is>
          <t>MVP-SRV-002</t>
        </is>
      </c>
      <c r="K49" s="6" t="inlineStr">
        <is>
          <t>未开始</t>
        </is>
      </c>
      <c r="L49" s="7" t="inlineStr">
        <is>
          <t>【目标】编写通义千问适配器测试
【测试框架】pytest + respx
【测试文件路径】ai-service/tests/adapters/test_qwen.py
【测试用例清单】
1. test_generate_success：Mock DashScope API
   - Mock POST https://dashscope.aliyuncs.com/compatible-mode/v1/chat/completions
   - 断言返回正确
2. test_stream_success：Mock SSE流
3. test_ancient_chinese_description：古风描写能力测试
4. test_error_handling：错误处理
【运行命令】pytest tests/adapters/test_qwen.py -v</t>
        </is>
      </c>
      <c r="M49" s="7" t="inlineStr">
        <is>
          <t>4个通义千问适配器测试用例通过</t>
        </is>
      </c>
      <c r="N49" s="7" t="inlineStr"/>
    </row>
    <row r="50" ht="200" customHeight="1">
      <c r="A50" s="2" t="inlineStr">
        <is>
          <t>MVP-AI-008</t>
        </is>
      </c>
      <c r="B50" s="2" t="inlineStr">
        <is>
          <t>QwenAdapter通义千问 - 实现</t>
        </is>
      </c>
      <c r="C50" s="8" t="inlineStr">
        <is>
          <t>Green实现</t>
        </is>
      </c>
      <c r="D50" s="2" t="inlineStr">
        <is>
          <t>AI引擎</t>
        </is>
      </c>
      <c r="E50" s="4" t="inlineStr">
        <is>
          <t>P0</t>
        </is>
      </c>
      <c r="F50" s="5" t="inlineStr">
        <is>
          <t>AI工程师</t>
        </is>
      </c>
      <c r="G50" s="5" t="n">
        <v>1</v>
      </c>
      <c r="H50" s="5" t="inlineStr">
        <is>
          <t>2026-W16</t>
        </is>
      </c>
      <c r="I50" s="5" t="inlineStr">
        <is>
          <t>2026-W16</t>
        </is>
      </c>
      <c r="J50" s="2" t="inlineStr">
        <is>
          <t>MVP-AI-007</t>
        </is>
      </c>
      <c r="K50" s="6" t="inlineStr">
        <is>
          <t>未开始</t>
        </is>
      </c>
      <c r="L50" s="2" t="inlineStr">
        <is>
          <t>【目标】实现通义千问适配器
【源文件路径】ai-service/app/adapters/qwen_adapter.py
【实现步骤】
1. 使用DashScope OpenAI兼容格式：
   - base_url = "https://dashscope.aliyuncs.com/compatible-mode/v1"
   - model = "qwen-max"
   - 使用openai.AsyncOpenAI(api_key=key, base_url=base_url)
2. 继承BaseModelAdapter，实现generate/stream/count_tokens/health_check
3. 特别优化古风描写能力：在system prompt中加入古风描写指令模板
【运行命令】pytest tests/adapters/test_qwen.py -v</t>
        </is>
      </c>
      <c r="M50" s="2" t="inlineStr">
        <is>
          <t>通义千问适配器实现完成，古风描写优化</t>
        </is>
      </c>
      <c r="N50" s="2" t="inlineStr"/>
    </row>
    <row r="51" ht="200" customHeight="1">
      <c r="A51" s="7" t="inlineStr">
        <is>
          <t>MVP-AI-009</t>
        </is>
      </c>
      <c r="B51" s="7" t="inlineStr">
        <is>
          <t>QwenAdapter通义千问 - 验收</t>
        </is>
      </c>
      <c r="C51" s="12" t="inlineStr">
        <is>
          <t>Acceptance验收</t>
        </is>
      </c>
      <c r="D51" s="7" t="inlineStr">
        <is>
          <t>AI引擎</t>
        </is>
      </c>
      <c r="E51" s="4" t="inlineStr">
        <is>
          <t>P0</t>
        </is>
      </c>
      <c r="F51" s="9" t="inlineStr">
        <is>
          <t>AI工程师</t>
        </is>
      </c>
      <c r="G51" s="9" t="n">
        <v>1</v>
      </c>
      <c r="H51" s="9" t="inlineStr">
        <is>
          <t>2026-W16</t>
        </is>
      </c>
      <c r="I51" s="9" t="inlineStr">
        <is>
          <t>2026-W16</t>
        </is>
      </c>
      <c r="J51" s="7" t="inlineStr">
        <is>
          <t>MVP-AI-008</t>
        </is>
      </c>
      <c r="K51" s="6" t="inlineStr">
        <is>
          <t>未开始</t>
        </is>
      </c>
      <c r="L51" s="7" t="inlineStr">
        <is>
          <t>【目标】通义千问适配器端到端验收
【测试场景】
1. 真实API调用 → 古风场景描写质量
2. 流式响应
3. 中文生成质量
【验收检查项】
□ 古风描写质量优秀
□ 流式响应正确
□ API调用稳定
【运行命令】pytest tests/adapters/test_qwen.py -v -m integration</t>
        </is>
      </c>
      <c r="M51" s="7" t="inlineStr">
        <is>
          <t>通义千问适配器验收通过</t>
        </is>
      </c>
      <c r="N51" s="7" t="inlineStr"/>
    </row>
    <row r="52" ht="200" customHeight="1">
      <c r="A52" s="2" t="inlineStr">
        <is>
          <t>MVP-AI-010</t>
        </is>
      </c>
      <c r="B52" s="2" t="inlineStr">
        <is>
          <t>ModelAdapterFactory - 测试</t>
        </is>
      </c>
      <c r="C52" s="4" t="inlineStr">
        <is>
          <t>Red测试</t>
        </is>
      </c>
      <c r="D52" s="2" t="inlineStr">
        <is>
          <t>AI引擎</t>
        </is>
      </c>
      <c r="E52" s="4" t="inlineStr">
        <is>
          <t>P0</t>
        </is>
      </c>
      <c r="F52" s="5" t="inlineStr">
        <is>
          <t>AI工程师</t>
        </is>
      </c>
      <c r="G52" s="5" t="n">
        <v>1</v>
      </c>
      <c r="H52" s="5" t="inlineStr">
        <is>
          <t>2026-W16</t>
        </is>
      </c>
      <c r="I52" s="5" t="inlineStr">
        <is>
          <t>2026-W16</t>
        </is>
      </c>
      <c r="J52" s="2" t="inlineStr">
        <is>
          <t>MVP-AI-003,MVP-AI-006,MVP-AI-009</t>
        </is>
      </c>
      <c r="K52" s="6" t="inlineStr">
        <is>
          <t>未开始</t>
        </is>
      </c>
      <c r="L52" s="2" t="inlineStr">
        <is>
          <t>【目标】编写模型工厂测试
【测试框架】pytest
【测试文件路径】ai-service/tests/test_factory.py
【测试用例清单】
1. test_create_claude：创建Claude适配器 → 返回ClaudeAdapter实例
2. test_create_deepseek：创建DeepSeek适配器 → 返回DeepSeekAdapter实例
3. test_create_qwen：创建Qwen适配器 → 返回QwenAdapter实例
4. test_create_unknown_model：创建未知模型 → 抛出ModelNotFoundError
5. test_register_custom_model：注册BYOK模型 → 创建成功
6. test_health_check_all：批量健康检查 → 返回所有模型状态
7. test_list_models：列出所有可用模型 → 返回模型列表
【运行命令】pytest tests/test_factory.py -v</t>
        </is>
      </c>
      <c r="M52" s="2" t="inlineStr">
        <is>
          <t>7个工厂测试用例通过</t>
        </is>
      </c>
      <c r="N52" s="2" t="inlineStr"/>
    </row>
    <row r="53" ht="200" customHeight="1">
      <c r="A53" s="7" t="inlineStr">
        <is>
          <t>MVP-AI-011</t>
        </is>
      </c>
      <c r="B53" s="7" t="inlineStr">
        <is>
          <t>ModelAdapterFactory - 实现</t>
        </is>
      </c>
      <c r="C53" s="8" t="inlineStr">
        <is>
          <t>Green实现</t>
        </is>
      </c>
      <c r="D53" s="7" t="inlineStr">
        <is>
          <t>AI引擎</t>
        </is>
      </c>
      <c r="E53" s="4" t="inlineStr">
        <is>
          <t>P0</t>
        </is>
      </c>
      <c r="F53" s="9" t="inlineStr">
        <is>
          <t>AI工程师</t>
        </is>
      </c>
      <c r="G53" s="9" t="n">
        <v>1</v>
      </c>
      <c r="H53" s="9" t="inlineStr">
        <is>
          <t>2026-W16</t>
        </is>
      </c>
      <c r="I53" s="9" t="inlineStr">
        <is>
          <t>2026-W16</t>
        </is>
      </c>
      <c r="J53" s="7" t="inlineStr">
        <is>
          <t>MVP-AI-010</t>
        </is>
      </c>
      <c r="K53" s="6" t="inlineStr">
        <is>
          <t>未开始</t>
        </is>
      </c>
      <c r="L53" s="7" t="inlineStr">
        <is>
          <t>【目标】实现模型工厂，统一管理所有AI模型适配器
【源文件路径】ai-service/app/factory.py
【实现步骤】
1. 创建ModelAdapterFactory类：
   - _adapters: Dict[str, Type[BaseModelAdapter]] 注册表
   - _instances: Dict[str, BaseModelAdapter] 实例缓存
2. 内置注册8个模型：
   - claude-3-sonnet → ClaudeAdapter
   - claude-3-opus → ClaudeAdapter(model="claude-3-opus")
   - deepseek-chat → DeepSeekAdapter
   - qwen-max → QwenAdapter
   - gpt-4o → GPTAdapter (预留)
   - gpt-4o-mini → GPTAdapter (预留)
3. 实现create(model_id, api_key) → BaseModelAdapter
4. 实现register(model_id, adapter_cls) → 注册BYOK
5. 实现health_check_all() → Dict[str, bool]
6. 实现list_models() → List[ModelInfo]
【运行命令】pytest tests/test_factory.py -v</t>
        </is>
      </c>
      <c r="M53" s="7" t="inlineStr">
        <is>
          <t>模型工厂实现完成，内置8个模型，BYOK注册可用</t>
        </is>
      </c>
      <c r="N53" s="7" t="inlineStr"/>
    </row>
    <row r="54" ht="200" customHeight="1">
      <c r="A54" s="2" t="inlineStr">
        <is>
          <t>MVP-AI-012</t>
        </is>
      </c>
      <c r="B54" s="2" t="inlineStr">
        <is>
          <t>ModelAdapterFactory - 验收</t>
        </is>
      </c>
      <c r="C54" s="12" t="inlineStr">
        <is>
          <t>Acceptance验收</t>
        </is>
      </c>
      <c r="D54" s="2" t="inlineStr">
        <is>
          <t>AI引擎</t>
        </is>
      </c>
      <c r="E54" s="4" t="inlineStr">
        <is>
          <t>P0</t>
        </is>
      </c>
      <c r="F54" s="5" t="inlineStr">
        <is>
          <t>AI工程师</t>
        </is>
      </c>
      <c r="G54" s="5" t="n">
        <v>1</v>
      </c>
      <c r="H54" s="5" t="inlineStr">
        <is>
          <t>2026-W16</t>
        </is>
      </c>
      <c r="I54" s="5" t="inlineStr">
        <is>
          <t>2026-W16</t>
        </is>
      </c>
      <c r="J54" s="2" t="inlineStr">
        <is>
          <t>MVP-AI-011</t>
        </is>
      </c>
      <c r="K54" s="6" t="inlineStr">
        <is>
          <t>未开始</t>
        </is>
      </c>
      <c r="L54" s="2" t="inlineStr">
        <is>
          <t>【目标】模型工厂端到端验收
【测试场景】
1. 创建Claude/GPT/DeepSeek/Qwen均成功
2. BYOK注册自定义模型 → 创建成功
3. 健康检查全部通过
4. 未知模型抛异常
【验收检查项】
□ 所有内置模型可创建
□ BYOK注册正常
□ 健康检查正确
□ 错误处理完善
【运行命令】pytest tests/test_factory.py -v</t>
        </is>
      </c>
      <c r="M54" s="2" t="inlineStr">
        <is>
          <t>模型工厂验收通过</t>
        </is>
      </c>
      <c r="N54" s="2" t="inlineStr"/>
    </row>
    <row r="55" ht="200" customHeight="1">
      <c r="A55" s="7" t="inlineStr">
        <is>
          <t>MVP-AI-013</t>
        </is>
      </c>
      <c r="B55" s="7" t="inlineStr">
        <is>
          <t>TaskAnalyzer任务分析器 - 测试</t>
        </is>
      </c>
      <c r="C55" s="4" t="inlineStr">
        <is>
          <t>Red测试</t>
        </is>
      </c>
      <c r="D55" s="7" t="inlineStr">
        <is>
          <t>AI引擎</t>
        </is>
      </c>
      <c r="E55" s="10" t="inlineStr">
        <is>
          <t>P1</t>
        </is>
      </c>
      <c r="F55" s="9" t="inlineStr">
        <is>
          <t>AI工程师</t>
        </is>
      </c>
      <c r="G55" s="9" t="n">
        <v>1</v>
      </c>
      <c r="H55" s="9" t="inlineStr">
        <is>
          <t>2026-W16</t>
        </is>
      </c>
      <c r="I55" s="9" t="inlineStr">
        <is>
          <t>2026-W16</t>
        </is>
      </c>
      <c r="J55" s="7" t="inlineStr">
        <is>
          <t>MVP-AI-012</t>
        </is>
      </c>
      <c r="K55" s="6" t="inlineStr">
        <is>
          <t>未开始</t>
        </is>
      </c>
      <c r="L55" s="7" t="inlineStr">
        <is>
          <t>【目标】编写任务分析器测试
【测试框架】pytest
【测试文件路径】ai-service/tests/services/test_task_analyzer.py
【测试用例清单】
1. test_analyze_continuation：识别续写任务 → task_type="continuation"
2. test_analyze_expansion：识别扩写任务 → task_type="expansion"
3. test_analyze_dialogue：识别对话任务 → task_type="dialogue"
4. test_analyze_description：识别描写任务 → task_type="description"
5. test_analyze_reasoning：识别推演任务 → task_type="reasoning"
6. test_recommend_model：根据任务推荐模型
   - 续写 → claude-3-sonnet
   - 推理 → deepseek-chat
   - 描写 → qwen-max
7. test_unknown_task：未知任务 → 返回默认(continuation + claude)
【运行命令】pytest tests/services/test_task_analyzer.py -v</t>
        </is>
      </c>
      <c r="M55" s="7" t="inlineStr">
        <is>
          <t>7个任务分析器测试用例通过</t>
        </is>
      </c>
      <c r="N55" s="7" t="inlineStr"/>
    </row>
    <row r="56" ht="200" customHeight="1">
      <c r="A56" s="2" t="inlineStr">
        <is>
          <t>MVP-AI-014</t>
        </is>
      </c>
      <c r="B56" s="2" t="inlineStr">
        <is>
          <t>TaskAnalyzer任务分析器 - 实现</t>
        </is>
      </c>
      <c r="C56" s="8" t="inlineStr">
        <is>
          <t>Green实现</t>
        </is>
      </c>
      <c r="D56" s="2" t="inlineStr">
        <is>
          <t>AI引擎</t>
        </is>
      </c>
      <c r="E56" s="10" t="inlineStr">
        <is>
          <t>P1</t>
        </is>
      </c>
      <c r="F56" s="5" t="inlineStr">
        <is>
          <t>AI工程师</t>
        </is>
      </c>
      <c r="G56" s="5" t="n">
        <v>1</v>
      </c>
      <c r="H56" s="5" t="inlineStr">
        <is>
          <t>2026-W16</t>
        </is>
      </c>
      <c r="I56" s="5" t="inlineStr">
        <is>
          <t>2026-W16</t>
        </is>
      </c>
      <c r="J56" s="2" t="inlineStr">
        <is>
          <t>MVP-AI-013</t>
        </is>
      </c>
      <c r="K56" s="6" t="inlineStr">
        <is>
          <t>未开始</t>
        </is>
      </c>
      <c r="L56" s="2" t="inlineStr">
        <is>
          <t>【目标】实现任务分析器，自动识别创作任务类型并推荐模型
【源文件路径】ai-service/app/services/task_analyzer.py
【实现步骤】
1. 定义任务类型枚举：continuation/expansion/rewriting/dialogue/description/reasoning/polishing
2. 实现analyze(task_description) → TaskAnalysis
   - 基于关键词匹配和规则判断任务类型
   - 关键词映射：续写→continuation, 扩写→expansion, 改写→rewriting, 对话→dialogue, 描写→description, 推演→reasoning, 润色→polishing
3. 实现recommend_model(task_type) → List[str]
   - continuation → ["claude-3-sonnet", "deepseek-chat"]
   - reasoning → ["deepseek-chat", "claude-3-opus"]
   - dialogue → ["claude-3-sonnet"]
   - description → ["qwen-max", "claude-3-sonnet"]
4. 返回TaskAnalysis(task_type, recommended_models, confidence)
【运行命令】pytest tests/services/test_task_analyzer.py -v</t>
        </is>
      </c>
      <c r="M56" s="2" t="inlineStr">
        <is>
          <t>任务分析器实现完成，任务识别和模型推荐正确</t>
        </is>
      </c>
      <c r="N56" s="2" t="inlineStr"/>
    </row>
    <row r="57" ht="200" customHeight="1">
      <c r="A57" s="7" t="inlineStr">
        <is>
          <t>MVP-AI-015</t>
        </is>
      </c>
      <c r="B57" s="7" t="inlineStr">
        <is>
          <t>TaskAnalyzer任务分析器 - 验收</t>
        </is>
      </c>
      <c r="C57" s="12" t="inlineStr">
        <is>
          <t>Acceptance验收</t>
        </is>
      </c>
      <c r="D57" s="7" t="inlineStr">
        <is>
          <t>AI引擎</t>
        </is>
      </c>
      <c r="E57" s="10" t="inlineStr">
        <is>
          <t>P1</t>
        </is>
      </c>
      <c r="F57" s="9" t="inlineStr">
        <is>
          <t>AI工程师</t>
        </is>
      </c>
      <c r="G57" s="9" t="n">
        <v>1</v>
      </c>
      <c r="H57" s="9" t="inlineStr">
        <is>
          <t>2026-W16</t>
        </is>
      </c>
      <c r="I57" s="9" t="inlineStr">
        <is>
          <t>2026-W16</t>
        </is>
      </c>
      <c r="J57" s="7" t="inlineStr">
        <is>
          <t>MVP-AI-014</t>
        </is>
      </c>
      <c r="K57" s="6" t="inlineStr">
        <is>
          <t>未开始</t>
        </is>
      </c>
      <c r="L57" s="7" t="inlineStr">
        <is>
          <t>【目标】任务分析器验收
【测试场景】
1. 各种任务类型正确识别
2. 模型推荐合理
3. 未知任务有兜底
【验收检查项】
□ 7种任务类型正确识别
□ 模型推荐合理
□ 兜底机制生效
【运行命令】pytest tests/services/test_task_analyzer.py -v</t>
        </is>
      </c>
      <c r="M57" s="7" t="inlineStr">
        <is>
          <t>任务分析器验收通过</t>
        </is>
      </c>
      <c r="N57" s="7" t="inlineStr"/>
    </row>
    <row r="58" ht="200" customHeight="1">
      <c r="A58" s="2" t="inlineStr">
        <is>
          <t>MVP-AI-016</t>
        </is>
      </c>
      <c r="B58" s="2" t="inlineStr">
        <is>
          <t>PromptBuilder - 测试</t>
        </is>
      </c>
      <c r="C58" s="4" t="inlineStr">
        <is>
          <t>Red测试</t>
        </is>
      </c>
      <c r="D58" s="2" t="inlineStr">
        <is>
          <t>AI引擎</t>
        </is>
      </c>
      <c r="E58" s="4" t="inlineStr">
        <is>
          <t>P0</t>
        </is>
      </c>
      <c r="F58" s="5" t="inlineStr">
        <is>
          <t>AI工程师</t>
        </is>
      </c>
      <c r="G58" s="5" t="n">
        <v>1</v>
      </c>
      <c r="H58" s="5" t="inlineStr">
        <is>
          <t>2026-W16</t>
        </is>
      </c>
      <c r="I58" s="5" t="inlineStr">
        <is>
          <t>2026-W16</t>
        </is>
      </c>
      <c r="J58" s="2" t="inlineStr">
        <is>
          <t>MVP-AI-012</t>
        </is>
      </c>
      <c r="K58" s="6" t="inlineStr">
        <is>
          <t>未开始</t>
        </is>
      </c>
      <c r="L58" s="2" t="inlineStr">
        <is>
          <t>【目标】编写Prompt构建器测试
【测试框架】pytest
【测试文件路径】ai-service/tests/services/test_prompt_builder.py
【测试用例清单】
1. test_build_basic_prompt：基础Prompt构建 → 格式正确
2. test_inject_knowledge_context：知识库注入 → 包含角色信息
3. test_inject_history_context：历史内容注入 → 包含前文
4. test_token_budget：Token预算控制 → 不超限
5. test_window_overflow：超窗口时裁剪 → 按优先级裁剪
6. test_system_prompt_template：系统Prompt模板 → 包含写作风格指令
【运行命令】pytest tests/services/test_prompt_builder.py -v</t>
        </is>
      </c>
      <c r="M58" s="2" t="inlineStr">
        <is>
          <t>6个Prompt构建器测试用例通过</t>
        </is>
      </c>
      <c r="N58" s="2" t="inlineStr"/>
    </row>
    <row r="59" ht="200" customHeight="1">
      <c r="A59" s="7" t="inlineStr">
        <is>
          <t>MVP-AI-017</t>
        </is>
      </c>
      <c r="B59" s="7" t="inlineStr">
        <is>
          <t>PromptBuilder - 实现</t>
        </is>
      </c>
      <c r="C59" s="8" t="inlineStr">
        <is>
          <t>Green实现</t>
        </is>
      </c>
      <c r="D59" s="7" t="inlineStr">
        <is>
          <t>AI引擎</t>
        </is>
      </c>
      <c r="E59" s="4" t="inlineStr">
        <is>
          <t>P0</t>
        </is>
      </c>
      <c r="F59" s="9" t="inlineStr">
        <is>
          <t>AI工程师</t>
        </is>
      </c>
      <c r="G59" s="9" t="n">
        <v>2</v>
      </c>
      <c r="H59" s="9" t="inlineStr">
        <is>
          <t>2026-W16</t>
        </is>
      </c>
      <c r="I59" s="9" t="inlineStr">
        <is>
          <t>2026-W16</t>
        </is>
      </c>
      <c r="J59" s="7" t="inlineStr">
        <is>
          <t>MVP-AI-016</t>
        </is>
      </c>
      <c r="K59" s="6" t="inlineStr">
        <is>
          <t>未开始</t>
        </is>
      </c>
      <c r="L59" s="7" t="inlineStr">
        <is>
          <t>【目标】实现Prompt构建器，智能组装AI生成Prompt
【源文件路径】ai-service/app/services/prompt_builder.py
【实现步骤】
1. 创建PromptBuilder类
2. 定义系统Prompt模板：
   - 小说创作助手角色定义
   - 写作风格指令（根据用户偏好）
   - 输出格式要求
3. 实现build方法：
   - build(system_prompt, knowledge_ctx, history_ctx, recent_ctx, user_instruction, max_tokens)
   - 分配比例：10%+20%+30%+30%+10%
   - Token计数和裁剪
4. 实现裁剪策略：
   - 超限时按优先级裁剪
   - 知识库：保留最相关的条目
   - 历史：保留最近的章节
   - 近期：保留最近的内容
【运行命令】pytest tests/services/test_prompt_builder.py -v</t>
        </is>
      </c>
      <c r="M59" s="7" t="inlineStr">
        <is>
          <t>Prompt构建器实现完成，Token预算控制和裁剪策略正确</t>
        </is>
      </c>
      <c r="N59" s="7" t="inlineStr"/>
    </row>
    <row r="60" ht="200" customHeight="1">
      <c r="A60" s="2" t="inlineStr">
        <is>
          <t>MVP-AI-018</t>
        </is>
      </c>
      <c r="B60" s="2" t="inlineStr">
        <is>
          <t>PromptBuilder - 验收</t>
        </is>
      </c>
      <c r="C60" s="12" t="inlineStr">
        <is>
          <t>Acceptance验收</t>
        </is>
      </c>
      <c r="D60" s="2" t="inlineStr">
        <is>
          <t>AI引擎</t>
        </is>
      </c>
      <c r="E60" s="4" t="inlineStr">
        <is>
          <t>P0</t>
        </is>
      </c>
      <c r="F60" s="5" t="inlineStr">
        <is>
          <t>AI工程师</t>
        </is>
      </c>
      <c r="G60" s="5" t="n">
        <v>1</v>
      </c>
      <c r="H60" s="5" t="inlineStr">
        <is>
          <t>2026-W16</t>
        </is>
      </c>
      <c r="I60" s="5" t="inlineStr">
        <is>
          <t>2026-W16</t>
        </is>
      </c>
      <c r="J60" s="2" t="inlineStr">
        <is>
          <t>MVP-AI-017</t>
        </is>
      </c>
      <c r="K60" s="6" t="inlineStr">
        <is>
          <t>未开始</t>
        </is>
      </c>
      <c r="L60" s="2" t="inlineStr">
        <is>
          <t>【目标】Prompt构建器验收
【验收检查项】
□ 完整Prompt结构正确
□ Token不超限
□ 裁剪时保留关键信息
□ 知识库内容正确注入
【运行命令】pytest tests/services/test_prompt_builder.py -v</t>
        </is>
      </c>
      <c r="M60" s="2" t="inlineStr">
        <is>
          <t>Prompt构建器验收通过</t>
        </is>
      </c>
      <c r="N60" s="2" t="inlineStr"/>
    </row>
    <row r="61" ht="200" customHeight="1">
      <c r="A61" s="7" t="inlineStr">
        <is>
          <t>MVP-AI-019</t>
        </is>
      </c>
      <c r="B61" s="7" t="inlineStr">
        <is>
          <t>AI引擎FastAPI端点 - 测试</t>
        </is>
      </c>
      <c r="C61" s="4" t="inlineStr">
        <is>
          <t>Red测试</t>
        </is>
      </c>
      <c r="D61" s="7" t="inlineStr">
        <is>
          <t>AI引擎</t>
        </is>
      </c>
      <c r="E61" s="4" t="inlineStr">
        <is>
          <t>P0</t>
        </is>
      </c>
      <c r="F61" s="9" t="inlineStr">
        <is>
          <t>AI工程师</t>
        </is>
      </c>
      <c r="G61" s="9" t="n">
        <v>1</v>
      </c>
      <c r="H61" s="9" t="inlineStr">
        <is>
          <t>2026-W16</t>
        </is>
      </c>
      <c r="I61" s="9" t="inlineStr">
        <is>
          <t>2026-W16</t>
        </is>
      </c>
      <c r="J61" s="7" t="inlineStr">
        <is>
          <t>MVP-AI-015,MVP-AI-018</t>
        </is>
      </c>
      <c r="K61" s="6" t="inlineStr">
        <is>
          <t>未开始</t>
        </is>
      </c>
      <c r="L61" s="7" t="inlineStr">
        <is>
          <t>【目标】编写AI引擎FastAPI端点测试
【测试框架】pytest + httpx
【测试文件路径】ai-service/tests/api/test_ai_routes.py
【测试用例清单】
1. test_generate_endpoint：POST /v1/ai/generate → 200 + 生成结果
2. test_stream_endpoint：POST /v1/ai/stream → SSE流
3. test_error_400：参数验证失败 → 400
4. test_error_401：未认证 → 401
5. test_error_429：配额超限 → 429
6. test_error_500：AI服务异常 → 500
7. test_rate_limiting：配额检查 → 超限返回429
【运行命令】pytest tests/api/test_ai_routes.py -v</t>
        </is>
      </c>
      <c r="M61" s="7" t="inlineStr">
        <is>
          <t>7个AI端点测试用例通过</t>
        </is>
      </c>
      <c r="N61" s="7" t="inlineStr"/>
    </row>
    <row r="62" ht="200" customHeight="1">
      <c r="A62" s="2" t="inlineStr">
        <is>
          <t>MVP-AI-020</t>
        </is>
      </c>
      <c r="B62" s="2" t="inlineStr">
        <is>
          <t>AI引擎FastAPI端点 - 实现</t>
        </is>
      </c>
      <c r="C62" s="8" t="inlineStr">
        <is>
          <t>Green实现</t>
        </is>
      </c>
      <c r="D62" s="2" t="inlineStr">
        <is>
          <t>AI引擎</t>
        </is>
      </c>
      <c r="E62" s="4" t="inlineStr">
        <is>
          <t>P0</t>
        </is>
      </c>
      <c r="F62" s="5" t="inlineStr">
        <is>
          <t>AI工程师</t>
        </is>
      </c>
      <c r="G62" s="5" t="n">
        <v>2</v>
      </c>
      <c r="H62" s="5" t="inlineStr">
        <is>
          <t>2026-W16</t>
        </is>
      </c>
      <c r="I62" s="5" t="inlineStr">
        <is>
          <t>2026-W16</t>
        </is>
      </c>
      <c r="J62" s="2" t="inlineStr">
        <is>
          <t>MVP-AI-019</t>
        </is>
      </c>
      <c r="K62" s="6" t="inlineStr">
        <is>
          <t>未开始</t>
        </is>
      </c>
      <c r="L62" s="2" t="inlineStr">
        <is>
          <t>【目标】实现AI引擎FastAPI端点
【源文件路径】ai-service/app/api/routes/ai.py
【API端点】
- POST /v1/ai/generate → 同步生成
- POST /v1/ai/stream → SSE流式生成
【实现步骤】
1. 定义请求/响应模型（Pydantic）：
   - GenerateRequest: { messages, model, max_tokens, temperature, system_prompt }
   - GenerateResponse: { text, model_id, tokens_used }
   - StreamRequest: 同GenerateRequest
2. 实现generate端点：
   - 验证JWT → 检查配额 → 构建Prompt → 调用ModelAdapterFactory → 返回结果
   - 记录AI生成日志到数据库
3. 实现stream端点：
   - StreamingResponse(content=generate_stream(), media_type="text/event-stream")
   - SSE格式：data: {"type":"start"} → data: {"type":"chunk","text":"..."} → data: {"type":"done"}
4. 依赖注入：AIService, TaskAnalyzer, PromptBuilder
5. 中间件：JWT认证、配额检查、请求日志
【运行命令】pytest tests/api/test_ai_routes.py -v</t>
        </is>
      </c>
      <c r="M62" s="2" t="inlineStr">
        <is>
          <t>AI端点实现完成，generate和stream均正常</t>
        </is>
      </c>
      <c r="N62" s="2" t="inlineStr"/>
    </row>
    <row r="63" ht="200" customHeight="1">
      <c r="A63" s="7" t="inlineStr">
        <is>
          <t>MVP-AI-021</t>
        </is>
      </c>
      <c r="B63" s="7" t="inlineStr">
        <is>
          <t>AI引擎FastAPI端点 - 验收</t>
        </is>
      </c>
      <c r="C63" s="12" t="inlineStr">
        <is>
          <t>Acceptance验收</t>
        </is>
      </c>
      <c r="D63" s="7" t="inlineStr">
        <is>
          <t>AI引擎</t>
        </is>
      </c>
      <c r="E63" s="4" t="inlineStr">
        <is>
          <t>P0</t>
        </is>
      </c>
      <c r="F63" s="9" t="inlineStr">
        <is>
          <t>AI工程师</t>
        </is>
      </c>
      <c r="G63" s="9" t="n">
        <v>1</v>
      </c>
      <c r="H63" s="9" t="inlineStr">
        <is>
          <t>2026-W16</t>
        </is>
      </c>
      <c r="I63" s="9" t="inlineStr">
        <is>
          <t>2026-W16</t>
        </is>
      </c>
      <c r="J63" s="7" t="inlineStr">
        <is>
          <t>MVP-AI-020</t>
        </is>
      </c>
      <c r="K63" s="6" t="inlineStr">
        <is>
          <t>未开始</t>
        </is>
      </c>
      <c r="L63" s="7" t="inlineStr">
        <is>
          <t>【目标】AI引擎端点端到端验收
【测试场景】
1. curl测试generate端点 → 返回生成结果
2. curl测试stream端点 → SSE流正确
3. 错误处理 → 400/401/429/500
4. 配额限制 → 超限返回429
5. 响应时间 → generate≤3s, stream首Token≤2s
【验收检查项】
□ generate端点正常
□ stream端点SSE格式正确
□ 错误处理完善
□ 配额限制生效
□ 性能达标
【运行命令】curl -X POST http://localhost:8006/api/v1/ai/generate -H "Content-Type: application/json" -d '{"messages":[{"role":"user","content":"续写"}],"model":"claude-3-sonnet"}'</t>
        </is>
      </c>
      <c r="M63" s="7" t="inlineStr">
        <is>
          <t>AI端点验收通过，generate和stream均正常，性能达标</t>
        </is>
      </c>
      <c r="N63" s="7" t="inlineStr"/>
    </row>
    <row r="64" ht="200" customHeight="1">
      <c r="A64" s="2" t="inlineStr">
        <is>
          <t>MVP-BRN-001</t>
        </is>
      </c>
      <c r="B64" s="2" t="inlineStr">
        <is>
          <t>BranchTreeProvider - 测试</t>
        </is>
      </c>
      <c r="C64" s="4" t="inlineStr">
        <is>
          <t>Red测试</t>
        </is>
      </c>
      <c r="D64" s="2" t="inlineStr">
        <is>
          <t>分支管理</t>
        </is>
      </c>
      <c r="E64" s="4" t="inlineStr">
        <is>
          <t>P0</t>
        </is>
      </c>
      <c r="F64" s="5" t="inlineStr">
        <is>
          <t>前端</t>
        </is>
      </c>
      <c r="G64" s="5" t="n">
        <v>1</v>
      </c>
      <c r="H64" s="5" t="inlineStr">
        <is>
          <t>2026-W18</t>
        </is>
      </c>
      <c r="I64" s="5" t="inlineStr">
        <is>
          <t>2026-W18</t>
        </is>
      </c>
      <c r="J64" s="2" t="inlineStr">
        <is>
          <t>MVP-CLI-005</t>
        </is>
      </c>
      <c r="K64" s="6" t="inlineStr">
        <is>
          <t>未开始</t>
        </is>
      </c>
      <c r="L64" s="2" t="inlineStr">
        <is>
          <t>【目标】编写分支树视图Provider测试
【测试框架】Vitest
【测试文件路径】extensions/dw-branch-manager/__tests__/BranchTreeProvider.test.ts
【测试用例清单】
1. test_getChildren_root：根节点返回顶级分支
   - Mock API返回分支列表
   - 断言getChildren(undefined)返回顶级分支
2. test_getChildren_branch：子节点返回子分支
   - 断言getChildren(parentBranch)返回子分支
3. test_getTreeItem：返回正确的TreeItem
   - 主线分支：icon="主线✦", label="主线", contextValue="branch-main"
   - IF线分支：icon="IF线🔮", label="IF线A", contextValue="branch-if"
   - 归档分支：icon="归档📦", label="废弃方案", contextValue="branch-archived"
4. test_drag_and_drop：拖放排序
5. test_onDidChangeTreeData：数据变更事件触发刷新
【Mock依赖】Mock vscode API, Mock HTTP API
【运行命令】npx vitest run extensions/dw-branch-manager/__tests__/BranchTreeProvider.test.ts</t>
        </is>
      </c>
      <c r="M64" s="2" t="inlineStr">
        <is>
          <t>5个分支树测试用例通过</t>
        </is>
      </c>
      <c r="N64" s="2" t="inlineStr"/>
    </row>
    <row r="65" ht="200" customHeight="1">
      <c r="A65" s="7" t="inlineStr">
        <is>
          <t>MVP-BRN-002</t>
        </is>
      </c>
      <c r="B65" s="7" t="inlineStr">
        <is>
          <t>BranchTreeProvider - 实现</t>
        </is>
      </c>
      <c r="C65" s="8" t="inlineStr">
        <is>
          <t>Green实现</t>
        </is>
      </c>
      <c r="D65" s="7" t="inlineStr">
        <is>
          <t>分支管理</t>
        </is>
      </c>
      <c r="E65" s="4" t="inlineStr">
        <is>
          <t>P0</t>
        </is>
      </c>
      <c r="F65" s="9" t="inlineStr">
        <is>
          <t>前端</t>
        </is>
      </c>
      <c r="G65" s="9" t="n">
        <v>2</v>
      </c>
      <c r="H65" s="9" t="inlineStr">
        <is>
          <t>2026-W18</t>
        </is>
      </c>
      <c r="I65" s="9" t="inlineStr">
        <is>
          <t>2026-W18</t>
        </is>
      </c>
      <c r="J65" s="7" t="inlineStr">
        <is>
          <t>MVP-BRN-001</t>
        </is>
      </c>
      <c r="K65" s="6" t="inlineStr">
        <is>
          <t>未开始</t>
        </is>
      </c>
      <c r="L65" s="7" t="inlineStr">
        <is>
          <t>【目标】实现分支树视图Provider
【源文件路径】extensions/dw-branch-manager/src/BranchTreeProvider.ts
【实现步骤】
1. 创建BranchTreeProvider类（implements TreeDataProvider&lt;BranchNode&gt;）
2. 定义BranchNode类型：{ id, name, type, depth, isActive, chapterCount, wordCount, children }
3. 实现getTreeItem(element)：
   - 主线：icon="$(branch-main)", label=name, collapsibleState=TreeItemCollapsibleState.Collapsed
   - IF线：icon="$(branch-if)", label=name
   - 归档：icon="$(branch-archived)", label=name, iconPath灰色
4. 实现getChildren(element)：
   - element=undefined → 返回顶级分支
   - element=BranchNode → 返回子分支
5. 实现onDidChangeTreeData事件
6. 注册右键菜单：
   - 创建子分支
   - 合并分支
   - 归档分支
   - 设为主线
   - 删除分支
7. 注册到vscode.window.createTreeView("dw-branches", { treeDataProvider })
【运行命令】npx vitest run extensions/dw-branch-manager/__tests__/BranchTreeProvider.test.ts</t>
        </is>
      </c>
      <c r="M65" s="7" t="inlineStr">
        <is>
          <t>分支树Provider实现完成，树视图显示正确，右键菜单可用</t>
        </is>
      </c>
      <c r="N65" s="7" t="inlineStr"/>
    </row>
    <row r="66" ht="200" customHeight="1">
      <c r="A66" s="2" t="inlineStr">
        <is>
          <t>MVP-BRN-003</t>
        </is>
      </c>
      <c r="B66" s="2" t="inlineStr">
        <is>
          <t>BranchTreeProvider - 验收</t>
        </is>
      </c>
      <c r="C66" s="12" t="inlineStr">
        <is>
          <t>Acceptance验收</t>
        </is>
      </c>
      <c r="D66" s="2" t="inlineStr">
        <is>
          <t>分支管理</t>
        </is>
      </c>
      <c r="E66" s="4" t="inlineStr">
        <is>
          <t>P0</t>
        </is>
      </c>
      <c r="F66" s="5" t="inlineStr">
        <is>
          <t>前端</t>
        </is>
      </c>
      <c r="G66" s="5" t="n">
        <v>1</v>
      </c>
      <c r="H66" s="5" t="inlineStr">
        <is>
          <t>2026-W18</t>
        </is>
      </c>
      <c r="I66" s="5" t="inlineStr">
        <is>
          <t>2026-W18</t>
        </is>
      </c>
      <c r="J66" s="2" t="inlineStr">
        <is>
          <t>MVP-BRN-002</t>
        </is>
      </c>
      <c r="K66" s="6" t="inlineStr">
        <is>
          <t>未开始</t>
        </is>
      </c>
      <c r="L66" s="2" t="inlineStr">
        <is>
          <t>【目标】分支树视图端到端验收
【测试场景】
1. 侧边栏显示分支树 → 展开/折叠正常
2. 图标正确（主线/IF线/归档）
3. 右键菜单（创建/合并/归档/设为主线）
4. 拖放排序
【验收检查项】
□ 树视图正确显示
□ 图标区分正确
□ 右键菜单功能可用
□ 展开/折叠正常
【运行命令】F5启动Extension Development Host</t>
        </is>
      </c>
      <c r="M66" s="2" t="inlineStr">
        <is>
          <t>分支树视图验收通过</t>
        </is>
      </c>
      <c r="N66" s="2" t="inlineStr"/>
    </row>
    <row r="67" ht="200" customHeight="1">
      <c r="A67" s="7" t="inlineStr">
        <is>
          <t>MVP-BRN-004</t>
        </is>
      </c>
      <c r="B67" s="7" t="inlineStr">
        <is>
          <t>BranchService - 测试</t>
        </is>
      </c>
      <c r="C67" s="4" t="inlineStr">
        <is>
          <t>Red测试</t>
        </is>
      </c>
      <c r="D67" s="7" t="inlineStr">
        <is>
          <t>分支管理</t>
        </is>
      </c>
      <c r="E67" s="4" t="inlineStr">
        <is>
          <t>P0</t>
        </is>
      </c>
      <c r="F67" s="9" t="inlineStr">
        <is>
          <t>前端</t>
        </is>
      </c>
      <c r="G67" s="9" t="n">
        <v>1</v>
      </c>
      <c r="H67" s="9" t="inlineStr">
        <is>
          <t>2026-W18</t>
        </is>
      </c>
      <c r="I67" s="9" t="inlineStr">
        <is>
          <t>2026-W18</t>
        </is>
      </c>
      <c r="J67" s="7" t="inlineStr">
        <is>
          <t>MVP-BRN-001</t>
        </is>
      </c>
      <c r="K67" s="6" t="inlineStr">
        <is>
          <t>未开始</t>
        </is>
      </c>
      <c r="L67" s="7" t="inlineStr">
        <is>
          <t>【目标】编写BranchService测试
【测试框架】Vitest
【测试文件路径】extensions/dw-branch-manager/__tests__/BranchService.test.ts
【测试用例清单】
1. test_create_branch：创建分支 → API调用正确
2. test_switch_branch：切换分支 → 编辑器内容切换
3. test_delete_branch：删除分支 → 确认弹窗
4. test_archive_branch：归档分支 → 状态更新
5. test_get_branch_tree：获取分支树 → 结构正确
【运行命令】npx vitest run extensions/dw-branch-manager/__tests__/BranchService.test.ts</t>
        </is>
      </c>
      <c r="M67" s="7" t="inlineStr">
        <is>
          <t>5个BranchService测试用例通过</t>
        </is>
      </c>
      <c r="N67" s="7" t="inlineStr"/>
    </row>
    <row r="68" ht="200" customHeight="1">
      <c r="A68" s="2" t="inlineStr">
        <is>
          <t>MVP-BRN-005</t>
        </is>
      </c>
      <c r="B68" s="2" t="inlineStr">
        <is>
          <t>BranchService - 实现</t>
        </is>
      </c>
      <c r="C68" s="8" t="inlineStr">
        <is>
          <t>Green实现</t>
        </is>
      </c>
      <c r="D68" s="2" t="inlineStr">
        <is>
          <t>分支管理</t>
        </is>
      </c>
      <c r="E68" s="4" t="inlineStr">
        <is>
          <t>P0</t>
        </is>
      </c>
      <c r="F68" s="5" t="inlineStr">
        <is>
          <t>前端</t>
        </is>
      </c>
      <c r="G68" s="5" t="n">
        <v>2</v>
      </c>
      <c r="H68" s="5" t="inlineStr">
        <is>
          <t>2026-W18</t>
        </is>
      </c>
      <c r="I68" s="5" t="inlineStr">
        <is>
          <t>2026-W18</t>
        </is>
      </c>
      <c r="J68" s="2" t="inlineStr">
        <is>
          <t>MVP-BRN-004</t>
        </is>
      </c>
      <c r="K68" s="6" t="inlineStr">
        <is>
          <t>未开始</t>
        </is>
      </c>
      <c r="L68" s="2" t="inlineStr">
        <is>
          <t>【目标】实现BranchService，管理分支的CRUD和切换
【源文件路径】extensions/dw-branch-manager/src/BranchService.ts
【实现步骤】
1. 创建BranchService类
2. 实现createBranch(workId, parentNodeId, name, type)：
   - POST /api/v1/works/{workId}/branches
   - body: { parent_id, name, branch_type }
   - 更新TreeProvider
3. 实现switchBranch(workId, branchId)：
   - POST /api/v1/branches/{branchId}/switch
   - 更新编辑器内容（打开对应分支的最新章节）
   - 更新TreeProvider高亮
4. 实现deleteBranch(branchId)：
   - 确认弹窗：vscode.window.showWarningMessage
   - DELETE /api/v1/branches/{branchId}
5. 实现archiveBranch(branchId)：
   - PUT /api/v1/branches/{branchId} { status: "archived" }
6. 实现getBranchTree(workId)：
   - GET /api/v1/works/{workId}/branches/tree
   - 返回树结构
【运行命令】npx vitest run extensions/dw-branch-manager/__tests__/BranchService.test.ts</t>
        </is>
      </c>
      <c r="M68" s="2" t="inlineStr">
        <is>
          <t>BranchService实现完成，CRUD和切换正常</t>
        </is>
      </c>
      <c r="N68" s="2" t="inlineStr"/>
    </row>
    <row r="69" ht="200" customHeight="1">
      <c r="A69" s="7" t="inlineStr">
        <is>
          <t>MVP-BRN-006</t>
        </is>
      </c>
      <c r="B69" s="7" t="inlineStr">
        <is>
          <t>BranchService - 验收</t>
        </is>
      </c>
      <c r="C69" s="12" t="inlineStr">
        <is>
          <t>Acceptance验收</t>
        </is>
      </c>
      <c r="D69" s="7" t="inlineStr">
        <is>
          <t>分支管理</t>
        </is>
      </c>
      <c r="E69" s="4" t="inlineStr">
        <is>
          <t>P0</t>
        </is>
      </c>
      <c r="F69" s="9" t="inlineStr">
        <is>
          <t>前端</t>
        </is>
      </c>
      <c r="G69" s="9" t="n">
        <v>1</v>
      </c>
      <c r="H69" s="9" t="inlineStr">
        <is>
          <t>2026-W18</t>
        </is>
      </c>
      <c r="I69" s="9" t="inlineStr">
        <is>
          <t>2026-W18</t>
        </is>
      </c>
      <c r="J69" s="7" t="inlineStr">
        <is>
          <t>MVP-BRN-005</t>
        </is>
      </c>
      <c r="K69" s="6" t="inlineStr">
        <is>
          <t>未开始</t>
        </is>
      </c>
      <c r="L69" s="7" t="inlineStr">
        <is>
          <t>【目标】BranchService端到端验收
【测试场景】
1. 创建分支后树更新
2. 切换分支后编辑器内容切换
3. 删除分支确认弹窗
4. 归档分支变灰
【验收检查项】
□ 分支CRUD完整
□ 切换后编辑器内容正确
□ 删除确认弹窗
□ 归档状态正确
【运行命令】F5启动Extension Development Host</t>
        </is>
      </c>
      <c r="M69" s="7" t="inlineStr">
        <is>
          <t>BranchService验收通过</t>
        </is>
      </c>
      <c r="N69" s="7" t="inlineStr"/>
    </row>
    <row r="70" ht="200" customHeight="1">
      <c r="A70" s="2" t="inlineStr">
        <is>
          <t>MVP-BRN-007</t>
        </is>
      </c>
      <c r="B70" s="2" t="inlineStr">
        <is>
          <t>分支服务端API - 测试</t>
        </is>
      </c>
      <c r="C70" s="4" t="inlineStr">
        <is>
          <t>Red测试</t>
        </is>
      </c>
      <c r="D70" s="2" t="inlineStr">
        <is>
          <t>分支管理</t>
        </is>
      </c>
      <c r="E70" s="4" t="inlineStr">
        <is>
          <t>P0</t>
        </is>
      </c>
      <c r="F70" s="5" t="inlineStr">
        <is>
          <t>后端</t>
        </is>
      </c>
      <c r="G70" s="5" t="n">
        <v>1</v>
      </c>
      <c r="H70" s="5" t="inlineStr">
        <is>
          <t>2026-W18</t>
        </is>
      </c>
      <c r="I70" s="5" t="inlineStr">
        <is>
          <t>2026-W18</t>
        </is>
      </c>
      <c r="J70" s="2" t="inlineStr">
        <is>
          <t>MVP-SRV-003</t>
        </is>
      </c>
      <c r="K70" s="6" t="inlineStr">
        <is>
          <t>未开始</t>
        </is>
      </c>
      <c r="L70" s="2" t="inlineStr">
        <is>
          <t>【目标】编写分支服务端API测试
【测试框架】pytest + httpx
【测试文件路径】server/service/branch-service/tests/test_branch_api.py
【测试用例清单】
1. test_create_branch：POST /api/v1/works/{id}/branches → 201
2. test_get_branch_tree：GET /api/v1/works/{id}/branches/tree → 200
3. test_switch_branch：POST /api/v1/branches/{id}/switch → 200
4. test_merge_branch：POST /api/v1/branches/merge → 200
5. test_delete_branch：DELETE /api/v1/branches/{id} → 204
6. test_branch_data_integrity：分支数据完整性 → 创建分支后父分支数据不变
7. test_concurrent_create：并发创建不冲突 → 无死锁
【运行命令】pytest server/service/branch-service/tests/test_branch_api.py -v</t>
        </is>
      </c>
      <c r="M70" s="2" t="inlineStr">
        <is>
          <t>7个分支API测试用例通过</t>
        </is>
      </c>
      <c r="N70" s="2" t="inlineStr"/>
    </row>
    <row r="71" ht="200" customHeight="1">
      <c r="A71" s="7" t="inlineStr">
        <is>
          <t>MVP-BRN-008</t>
        </is>
      </c>
      <c r="B71" s="7" t="inlineStr">
        <is>
          <t>分支服务端API - 实现</t>
        </is>
      </c>
      <c r="C71" s="8" t="inlineStr">
        <is>
          <t>Green实现</t>
        </is>
      </c>
      <c r="D71" s="7" t="inlineStr">
        <is>
          <t>分支管理</t>
        </is>
      </c>
      <c r="E71" s="4" t="inlineStr">
        <is>
          <t>P0</t>
        </is>
      </c>
      <c r="F71" s="9" t="inlineStr">
        <is>
          <t>后端</t>
        </is>
      </c>
      <c r="G71" s="9" t="n">
        <v>2</v>
      </c>
      <c r="H71" s="9" t="inlineStr">
        <is>
          <t>2026-W18</t>
        </is>
      </c>
      <c r="I71" s="9" t="inlineStr">
        <is>
          <t>2026-W18</t>
        </is>
      </c>
      <c r="J71" s="7" t="inlineStr">
        <is>
          <t>MVP-BRN-007</t>
        </is>
      </c>
      <c r="K71" s="6" t="inlineStr">
        <is>
          <t>未开始</t>
        </is>
      </c>
      <c r="L71" s="7" t="inlineStr">
        <is>
          <t>【目标】实现分支管理服务端API
【源文件路径】server/service/branch-service/
【API端点】
- POST /works/:id/branches → 创建分支
- GET /branches/:id → 获取分支详情
- PUT /branches/:id → 更新分支
- DELETE /branches/:id → 删除分支
- POST /branches/:id/switch → 切换分支
- POST /branches/merge → 合并分支
- GET /works/:id/branches/tree → 获取分支树
【实现步骤】
1. 创建分支：复制父分支引用 + 记录分叉点（chapter_id + version_id）
2. 切换分支：更新works表current_branch_id
3. 合并分支：将目标分支的章节内容合并到主线（简单追加，复杂合并留v1.5）
4. 分支树查询：递归查询构建树结构
5. 数据完整性：使用事务确保分支创建的原子性
【运行命令】pytest server/service/branch-service/tests/test_branch_api.py -v</t>
        </is>
      </c>
      <c r="M71" s="7" t="inlineStr">
        <is>
          <t>分支API实现完成，CRUD和树查询正常</t>
        </is>
      </c>
      <c r="N71" s="7" t="inlineStr"/>
    </row>
    <row r="72" ht="200" customHeight="1">
      <c r="A72" s="2" t="inlineStr">
        <is>
          <t>MVP-BRN-009</t>
        </is>
      </c>
      <c r="B72" s="2" t="inlineStr">
        <is>
          <t>分支服务端API - 验收</t>
        </is>
      </c>
      <c r="C72" s="12" t="inlineStr">
        <is>
          <t>Acceptance验收</t>
        </is>
      </c>
      <c r="D72" s="2" t="inlineStr">
        <is>
          <t>分支管理</t>
        </is>
      </c>
      <c r="E72" s="4" t="inlineStr">
        <is>
          <t>P0</t>
        </is>
      </c>
      <c r="F72" s="5" t="inlineStr">
        <is>
          <t>后端</t>
        </is>
      </c>
      <c r="G72" s="5" t="n">
        <v>1</v>
      </c>
      <c r="H72" s="5" t="inlineStr">
        <is>
          <t>2026-W18</t>
        </is>
      </c>
      <c r="I72" s="5" t="inlineStr">
        <is>
          <t>2026-W18</t>
        </is>
      </c>
      <c r="J72" s="2" t="inlineStr">
        <is>
          <t>MVP-BRN-008</t>
        </is>
      </c>
      <c r="K72" s="6" t="inlineStr">
        <is>
          <t>未开始</t>
        </is>
      </c>
      <c r="L72" s="2" t="inlineStr">
        <is>
          <t>【目标】分支API端到端验收
【测试场景】
1. 创建分支API → 201
2. 获取分支树 → 树结构正确
3. 切换分支 → current_branch_id更新
4. 分支数据完整性 → 父分支不受影响
5. 并发创建 → 无死锁
【验收检查项】
□ 分支CRUD完整
□ 树结构正确
□ 数据完整性保证
□ 并发安全
【运行命令】pytest server/service/branch-service/tests/test_branch_api.py -v</t>
        </is>
      </c>
      <c r="M72" s="2" t="inlineStr">
        <is>
          <t>分支API验收通过</t>
        </is>
      </c>
      <c r="N72" s="2" t="inlineStr"/>
    </row>
    <row r="73" ht="200" customHeight="1">
      <c r="A73" s="7" t="inlineStr">
        <is>
          <t>MVP-BIB-001</t>
        </is>
      </c>
      <c r="B73" s="7" t="inlineStr">
        <is>
          <t>StoryBibleService - 测试</t>
        </is>
      </c>
      <c r="C73" s="4" t="inlineStr">
        <is>
          <t>Red测试</t>
        </is>
      </c>
      <c r="D73" s="7" t="inlineStr">
        <is>
          <t>知识库</t>
        </is>
      </c>
      <c r="E73" s="4" t="inlineStr">
        <is>
          <t>P0</t>
        </is>
      </c>
      <c r="F73" s="9" t="inlineStr">
        <is>
          <t>前端</t>
        </is>
      </c>
      <c r="G73" s="9" t="n">
        <v>1</v>
      </c>
      <c r="H73" s="9" t="inlineStr">
        <is>
          <t>2026-W18</t>
        </is>
      </c>
      <c r="I73" s="9" t="inlineStr">
        <is>
          <t>2026-W18</t>
        </is>
      </c>
      <c r="J73" s="7" t="inlineStr">
        <is>
          <t>MVP-CLI-005</t>
        </is>
      </c>
      <c r="K73" s="6" t="inlineStr">
        <is>
          <t>未开始</t>
        </is>
      </c>
      <c r="L73" s="7" t="inlineStr">
        <is>
          <t>【目标】编写知识库服务测试
【测试框架】Vitest
【测试文件路径】extensions/dw-story-bible/__tests__/StoryBibleService.test.ts
【测试用例清单】
1. test_get_entries：获取知识库条目列表 → 返回条目数组
2. test_create_entry：创建角色条目 → API调用正确
3. test_update_entry：更新条目 → PUT请求正确
4. test_delete_entry：删除条目 → DELETE请求正确
5. test_search_entries：搜索条目 → 返回匹配结果
6. test_filter_by_type：按类型筛选 → 只返回对应类型
【运行命令】npx vitest run extensions/dw-story-bible/__tests__/StoryBibleService.test.ts</t>
        </is>
      </c>
      <c r="M73" s="7" t="inlineStr">
        <is>
          <t>6个知识库服务测试用例通过</t>
        </is>
      </c>
      <c r="N73" s="7" t="inlineStr"/>
    </row>
    <row r="74" ht="200" customHeight="1">
      <c r="A74" s="2" t="inlineStr">
        <is>
          <t>MVP-BIB-002</t>
        </is>
      </c>
      <c r="B74" s="2" t="inlineStr">
        <is>
          <t>StoryBibleService - 实现</t>
        </is>
      </c>
      <c r="C74" s="8" t="inlineStr">
        <is>
          <t>Green实现</t>
        </is>
      </c>
      <c r="D74" s="2" t="inlineStr">
        <is>
          <t>知识库</t>
        </is>
      </c>
      <c r="E74" s="4" t="inlineStr">
        <is>
          <t>P0</t>
        </is>
      </c>
      <c r="F74" s="5" t="inlineStr">
        <is>
          <t>前端</t>
        </is>
      </c>
      <c r="G74" s="5" t="n">
        <v>2</v>
      </c>
      <c r="H74" s="5" t="inlineStr">
        <is>
          <t>2026-W18</t>
        </is>
      </c>
      <c r="I74" s="5" t="inlineStr">
        <is>
          <t>2026-W18</t>
        </is>
      </c>
      <c r="J74" s="2" t="inlineStr">
        <is>
          <t>MVP-BIB-001</t>
        </is>
      </c>
      <c r="K74" s="6" t="inlineStr">
        <is>
          <t>未开始</t>
        </is>
      </c>
      <c r="L74" s="2" t="inlineStr">
        <is>
          <t>【目标】实现知识库服务
【源文件路径】extensions/dw-story-bible/src/StoryBibleService.ts
【实现步骤】
1. 创建StoryBibleService类
2. 实现getEntries(workId, type?)：
   - GET /api/v1/works/{workId}/bible?type={type}
3. 实现createEntry(workId, entry)：
   - POST /api/v1/works/{workId}/bible
   - body: { entry_type, name, description, attributes, tags }
4. 实现updateEntry(workId, entryId, entry)：
   - PUT /api/v1/bible/{entryId}
5. 实现deleteEntry(entryId)：
   - DELETE /api/v1/bible/{entryId}
6. 实现searchEntries(workId, query)：
   - GET /api/v1/works/{workId}/bible/search?q={query}
【运行命令】npx vitest run extensions/dw-story-bible/__tests__/StoryBibleService.test.ts</t>
        </is>
      </c>
      <c r="M74" s="2" t="inlineStr">
        <is>
          <t>知识库服务实现完成，CRUD和搜索正常</t>
        </is>
      </c>
      <c r="N74" s="2" t="inlineStr"/>
    </row>
    <row r="75" ht="200" customHeight="1">
      <c r="A75" s="7" t="inlineStr">
        <is>
          <t>MVP-BIB-003</t>
        </is>
      </c>
      <c r="B75" s="7" t="inlineStr">
        <is>
          <t>StoryBibleService - 验收</t>
        </is>
      </c>
      <c r="C75" s="12" t="inlineStr">
        <is>
          <t>Acceptance验收</t>
        </is>
      </c>
      <c r="D75" s="7" t="inlineStr">
        <is>
          <t>知识库</t>
        </is>
      </c>
      <c r="E75" s="4" t="inlineStr">
        <is>
          <t>P0</t>
        </is>
      </c>
      <c r="F75" s="9" t="inlineStr">
        <is>
          <t>前端</t>
        </is>
      </c>
      <c r="G75" s="9" t="n">
        <v>1</v>
      </c>
      <c r="H75" s="9" t="inlineStr">
        <is>
          <t>2026-W18</t>
        </is>
      </c>
      <c r="I75" s="9" t="inlineStr">
        <is>
          <t>2026-W18</t>
        </is>
      </c>
      <c r="J75" s="7" t="inlineStr">
        <is>
          <t>MVP-BIB-002</t>
        </is>
      </c>
      <c r="K75" s="6" t="inlineStr">
        <is>
          <t>未开始</t>
        </is>
      </c>
      <c r="L75" s="7" t="inlineStr">
        <is>
          <t>【目标】知识库服务端到端验收
【测试场景】
1. 创建角色条目 → 成功
2. 编辑角色信息 → 更新成功
3. 搜索角色 → 返回匹配结果
4. 删除条目 → 成功
5. 标签筛选 → 正确过滤
【验收检查项】
□ CRUD完整
□ 搜索正常
□ 标签筛选正确
【运行命令】F5启动Extension Development Host</t>
        </is>
      </c>
      <c r="M75" s="7" t="inlineStr">
        <is>
          <t>知识库服务验收通过</t>
        </is>
      </c>
      <c r="N75" s="7" t="inlineStr"/>
    </row>
    <row r="76" ht="200" customHeight="1">
      <c r="A76" s="2" t="inlineStr">
        <is>
          <t>MVP-BIB-004</t>
        </is>
      </c>
      <c r="B76" s="2" t="inlineStr">
        <is>
          <t>知识库树视图 - 测试</t>
        </is>
      </c>
      <c r="C76" s="4" t="inlineStr">
        <is>
          <t>Red测试</t>
        </is>
      </c>
      <c r="D76" s="2" t="inlineStr">
        <is>
          <t>知识库</t>
        </is>
      </c>
      <c r="E76" s="4" t="inlineStr">
        <is>
          <t>P0</t>
        </is>
      </c>
      <c r="F76" s="5" t="inlineStr">
        <is>
          <t>前端</t>
        </is>
      </c>
      <c r="G76" s="5" t="n">
        <v>1</v>
      </c>
      <c r="H76" s="5" t="inlineStr">
        <is>
          <t>2026-W18</t>
        </is>
      </c>
      <c r="I76" s="5" t="inlineStr">
        <is>
          <t>2026-W18</t>
        </is>
      </c>
      <c r="J76" s="2" t="inlineStr">
        <is>
          <t>MVP-BIB-002</t>
        </is>
      </c>
      <c r="K76" s="6" t="inlineStr">
        <is>
          <t>未开始</t>
        </is>
      </c>
      <c r="L76" s="2" t="inlineStr">
        <is>
          <t>【目标】编写知识库树视图测试
【测试框架】Vitest
【测试文件路径】extensions/dw-story-bible/__tests__/BibleTreeProvider.test.ts
【测试用例清单】
1. test_getChildren_characters：角色分类下显示角色条目
2. test_getChildren_locations：地点分类下显示地点条目
3. test_getTreeItem_character：角色TreeItem显示头像+姓名+标签
4. test_click_navigate：点击打开详情面板
5. test_category_switch：分类标签切换
【运行命令】npx vitest run extensions/dw-story-bible/__tests__/BibleTreeProvider.test.ts</t>
        </is>
      </c>
      <c r="M76" s="2" t="inlineStr">
        <is>
          <t>5个知识库树视图测试用例通过</t>
        </is>
      </c>
      <c r="N76" s="2" t="inlineStr"/>
    </row>
    <row r="77" ht="200" customHeight="1">
      <c r="A77" s="7" t="inlineStr">
        <is>
          <t>MVP-BIB-005</t>
        </is>
      </c>
      <c r="B77" s="7" t="inlineStr">
        <is>
          <t>知识库树视图 - 实现</t>
        </is>
      </c>
      <c r="C77" s="8" t="inlineStr">
        <is>
          <t>Green实现</t>
        </is>
      </c>
      <c r="D77" s="7" t="inlineStr">
        <is>
          <t>知识库</t>
        </is>
      </c>
      <c r="E77" s="4" t="inlineStr">
        <is>
          <t>P0</t>
        </is>
      </c>
      <c r="F77" s="9" t="inlineStr">
        <is>
          <t>前端</t>
        </is>
      </c>
      <c r="G77" s="9" t="n">
        <v>2</v>
      </c>
      <c r="H77" s="9" t="inlineStr">
        <is>
          <t>2026-W18</t>
        </is>
      </c>
      <c r="I77" s="9" t="inlineStr">
        <is>
          <t>2026-W18</t>
        </is>
      </c>
      <c r="J77" s="7" t="inlineStr">
        <is>
          <t>MVP-BIB-004</t>
        </is>
      </c>
      <c r="K77" s="6" t="inlineStr">
        <is>
          <t>未开始</t>
        </is>
      </c>
      <c r="L77" s="7" t="inlineStr">
        <is>
          <t>【目标】实现知识库树视图
【源文件路径】extensions/dw-story-bible/src/BibleTreeProvider.ts
【实现步骤】
1. 创建BibleTreeProvider（implements TreeDataProvider&lt;BibleNode&gt;）
2. 定义分类标签页：角色/地点/物品/势力/时间线/伏笔/世界观
3. 每个分类下显示对应条目
4. TreeItem显示：头像+姓名+关键信息（如角色标签）
5. 点击打开右侧详情面板（Webview）
6. 搜索过滤功能
【运行命令】npx vitest run extensions/dw-story-bible/__tests__/BibleTreeProvider.test.ts</t>
        </is>
      </c>
      <c r="M77" s="7" t="inlineStr">
        <is>
          <t>知识库树视图实现完成，分类标签和条目显示正确</t>
        </is>
      </c>
      <c r="N77" s="7" t="inlineStr"/>
    </row>
    <row r="78" ht="200" customHeight="1">
      <c r="A78" s="2" t="inlineStr">
        <is>
          <t>MVP-BIB-006</t>
        </is>
      </c>
      <c r="B78" s="2" t="inlineStr">
        <is>
          <t>知识库树视图 - 验收</t>
        </is>
      </c>
      <c r="C78" s="12" t="inlineStr">
        <is>
          <t>Acceptance验收</t>
        </is>
      </c>
      <c r="D78" s="2" t="inlineStr">
        <is>
          <t>知识库</t>
        </is>
      </c>
      <c r="E78" s="4" t="inlineStr">
        <is>
          <t>P0</t>
        </is>
      </c>
      <c r="F78" s="5" t="inlineStr">
        <is>
          <t>前端</t>
        </is>
      </c>
      <c r="G78" s="5" t="n">
        <v>1</v>
      </c>
      <c r="H78" s="5" t="inlineStr">
        <is>
          <t>2026-W18</t>
        </is>
      </c>
      <c r="I78" s="5" t="inlineStr">
        <is>
          <t>2026-W18</t>
        </is>
      </c>
      <c r="J78" s="2" t="inlineStr">
        <is>
          <t>MVP-BIB-005</t>
        </is>
      </c>
      <c r="K78" s="6" t="inlineStr">
        <is>
          <t>未开始</t>
        </is>
      </c>
      <c r="L78" s="2" t="inlineStr">
        <is>
          <t>【目标】知识库树视图端到端验收
【测试场景】
1. 分类标签切换 → 显示对应条目
2. 条目列表显示 → 头像+姓名+标签
3. 点击打开详情 → 右侧面板显示
4. 搜索过滤 → 正确过滤
【验收检查项】
□ 分类切换正常
□ 条目显示正确
□ 详情面板正常
□ 搜索过滤正常
【运行命令】F5启动Extension Development Host</t>
        </is>
      </c>
      <c r="M78" s="2" t="inlineStr">
        <is>
          <t>知识库树视图验收通过</t>
        </is>
      </c>
      <c r="N78" s="2" t="inlineStr"/>
    </row>
    <row r="79" ht="200" customHeight="1">
      <c r="A79" s="7" t="inlineStr">
        <is>
          <t>MVP-BIB-007</t>
        </is>
      </c>
      <c r="B79" s="7" t="inlineStr">
        <is>
          <t>AI实体提取 - 测试</t>
        </is>
      </c>
      <c r="C79" s="4" t="inlineStr">
        <is>
          <t>Red测试</t>
        </is>
      </c>
      <c r="D79" s="7" t="inlineStr">
        <is>
          <t>知识库</t>
        </is>
      </c>
      <c r="E79" s="4" t="inlineStr">
        <is>
          <t>P0</t>
        </is>
      </c>
      <c r="F79" s="9" t="inlineStr">
        <is>
          <t>AI工程师</t>
        </is>
      </c>
      <c r="G79" s="9" t="n">
        <v>1</v>
      </c>
      <c r="H79" s="9" t="inlineStr">
        <is>
          <t>2026-W18</t>
        </is>
      </c>
      <c r="I79" s="9" t="inlineStr">
        <is>
          <t>2026-W18</t>
        </is>
      </c>
      <c r="J79" s="7" t="inlineStr">
        <is>
          <t>MVP-AI-020</t>
        </is>
      </c>
      <c r="K79" s="6" t="inlineStr">
        <is>
          <t>未开始</t>
        </is>
      </c>
      <c r="L79" s="7" t="inlineStr">
        <is>
          <t>【目标】编写AI实体提取测试
【测试框架】pytest
【测试文件路径】ai-service/tests/services/test_entity_extractor.py
【测试用例清单】
1. test_extract_characters：从章节提取角色名 → 返回角色列表
2. test_extract_locations：提取地点 → 返回地点列表
3. test_extract_events：提取事件 → 返回事件列表
4. test_extract_relationships：提取关系 → 返回关系列表
5. test_duplicate_detection：去重 → 已有实体不重复创建
6. test_auto_link：自动关联已有条目
【运行命令】pytest ai-service/tests/services/test_entity_extractor.py -v</t>
        </is>
      </c>
      <c r="M79" s="7" t="inlineStr">
        <is>
          <t>6个实体提取测试用例通过</t>
        </is>
      </c>
      <c r="N79" s="7" t="inlineStr"/>
    </row>
    <row r="80" ht="200" customHeight="1">
      <c r="A80" s="2" t="inlineStr">
        <is>
          <t>MVP-BIB-008</t>
        </is>
      </c>
      <c r="B80" s="2" t="inlineStr">
        <is>
          <t>AI实体提取 - 实现</t>
        </is>
      </c>
      <c r="C80" s="8" t="inlineStr">
        <is>
          <t>Green实现</t>
        </is>
      </c>
      <c r="D80" s="2" t="inlineStr">
        <is>
          <t>知识库</t>
        </is>
      </c>
      <c r="E80" s="4" t="inlineStr">
        <is>
          <t>P0</t>
        </is>
      </c>
      <c r="F80" s="5" t="inlineStr">
        <is>
          <t>AI工程师</t>
        </is>
      </c>
      <c r="G80" s="5" t="n">
        <v>2</v>
      </c>
      <c r="H80" s="5" t="inlineStr">
        <is>
          <t>2026-W18</t>
        </is>
      </c>
      <c r="I80" s="5" t="inlineStr">
        <is>
          <t>2026-W18</t>
        </is>
      </c>
      <c r="J80" s="2" t="inlineStr">
        <is>
          <t>MVP-BIB-007</t>
        </is>
      </c>
      <c r="K80" s="6" t="inlineStr">
        <is>
          <t>未开始</t>
        </is>
      </c>
      <c r="L80" s="2" t="inlineStr">
        <is>
          <t>【目标】实现AI实体提取服务
【源文件路径】ai-service/app/services/entity_extractor.py
【实现步骤】
1. 创建EntityExtractor类
2. 实现extract_entities(work_id, chapter_id, content)：
   - 使用DeepSeek进行NER（命名实体识别）
   - Prompt: "从以下小说文本中提取角色名、地点名、事件，以JSON格式返回"
   - 返回StoryBibleEntry列表
3. 去重处理：与知识库已有条目比对（名称相似度&gt;0.8视为重复）
4. 自动关联：已有条目自动关联，新实体标记为"待确认"
5. 异步执行：通过RabbitMQ消息队列触发
【运行命令】pytest ai-service/tests/services/test_entity_extractor.py -v</t>
        </is>
      </c>
      <c r="M80" s="2" t="inlineStr">
        <is>
          <t>AI实体提取实现完成，角色/地点/事件提取和去重正常</t>
        </is>
      </c>
      <c r="N80" s="2" t="inlineStr"/>
    </row>
    <row r="81" ht="200" customHeight="1">
      <c r="A81" s="7" t="inlineStr">
        <is>
          <t>MVP-BIB-009</t>
        </is>
      </c>
      <c r="B81" s="7" t="inlineStr">
        <is>
          <t>AI实体提取 - 验收</t>
        </is>
      </c>
      <c r="C81" s="12" t="inlineStr">
        <is>
          <t>Acceptance验收</t>
        </is>
      </c>
      <c r="D81" s="7" t="inlineStr">
        <is>
          <t>知识库</t>
        </is>
      </c>
      <c r="E81" s="4" t="inlineStr">
        <is>
          <t>P0</t>
        </is>
      </c>
      <c r="F81" s="9" t="inlineStr">
        <is>
          <t>AI工程师</t>
        </is>
      </c>
      <c r="G81" s="9" t="n">
        <v>1</v>
      </c>
      <c r="H81" s="9" t="inlineStr">
        <is>
          <t>2026-W18</t>
        </is>
      </c>
      <c r="I81" s="9" t="inlineStr">
        <is>
          <t>2026-W18</t>
        </is>
      </c>
      <c r="J81" s="7" t="inlineStr">
        <is>
          <t>MVP-BIB-008</t>
        </is>
      </c>
      <c r="K81" s="6" t="inlineStr">
        <is>
          <t>未开始</t>
        </is>
      </c>
      <c r="L81" s="7" t="inlineStr">
        <is>
          <t>【目标】AI实体提取端到端验收
【测试场景】
1. 输入章节文本 → 提取角色/地点/事件
2. 去重 → 已有实体不重复
3. 自动关联 → 新实体标记待确认
【验收检查项】
□ 实体提取准确率≥80%
□ 去重正确
□ 自动关联正常
□ 异步执行不阻塞
【运行命令】pytest ai-service/tests/services/test_entity_extractor.py -v</t>
        </is>
      </c>
      <c r="M81" s="7" t="inlineStr">
        <is>
          <t>AI实体提取验收通过</t>
        </is>
      </c>
      <c r="N81" s="7" t="inlineStr"/>
    </row>
    <row r="82" ht="200" customHeight="1">
      <c r="A82" s="2" t="inlineStr">
        <is>
          <t>MVP-BIB-010</t>
        </is>
      </c>
      <c r="B82" s="2" t="inlineStr">
        <is>
          <t>冲突检测 - 测试</t>
        </is>
      </c>
      <c r="C82" s="4" t="inlineStr">
        <is>
          <t>Red测试</t>
        </is>
      </c>
      <c r="D82" s="2" t="inlineStr">
        <is>
          <t>知识库</t>
        </is>
      </c>
      <c r="E82" s="4" t="inlineStr">
        <is>
          <t>P0</t>
        </is>
      </c>
      <c r="F82" s="5" t="inlineStr">
        <is>
          <t>AI工程师</t>
        </is>
      </c>
      <c r="G82" s="5" t="n">
        <v>1</v>
      </c>
      <c r="H82" s="5" t="inlineStr">
        <is>
          <t>2026-W18</t>
        </is>
      </c>
      <c r="I82" s="5" t="inlineStr">
        <is>
          <t>2026-W18</t>
        </is>
      </c>
      <c r="J82" s="2" t="inlineStr">
        <is>
          <t>MVP-BIB-008</t>
        </is>
      </c>
      <c r="K82" s="6" t="inlineStr">
        <is>
          <t>未开始</t>
        </is>
      </c>
      <c r="L82" s="2" t="inlineStr">
        <is>
          <t>【目标】编写一致性冲突检测测试
【测试框架】pytest
【测试文件路径】ai-service/tests/services/test_conflict_detector.py
【测试用例清单】
1. test_detect_character_conflict：角色外貌矛盾 → 返回警告
2. test_detect_setting_conflict：世界观规则违反 → 返回警告
3. test_detect_timeline_conflict：时间线错误 → 返回警告
4. test_no_conflict：无冲突 → 返回空列表
5. test_conflict_detail：警告信息包含具体矛盾描述+位置+建议
【运行命令】pytest ai-service/tests/services/test_conflict_detector.py -v</t>
        </is>
      </c>
      <c r="M82" s="2" t="inlineStr">
        <is>
          <t>5个冲突检测测试用例通过</t>
        </is>
      </c>
      <c r="N82" s="2" t="inlineStr"/>
    </row>
    <row r="83" ht="200" customHeight="1">
      <c r="A83" s="7" t="inlineStr">
        <is>
          <t>MVP-BIB-011</t>
        </is>
      </c>
      <c r="B83" s="7" t="inlineStr">
        <is>
          <t>冲突检测 - 实现</t>
        </is>
      </c>
      <c r="C83" s="8" t="inlineStr">
        <is>
          <t>Green实现</t>
        </is>
      </c>
      <c r="D83" s="7" t="inlineStr">
        <is>
          <t>知识库</t>
        </is>
      </c>
      <c r="E83" s="4" t="inlineStr">
        <is>
          <t>P0</t>
        </is>
      </c>
      <c r="F83" s="9" t="inlineStr">
        <is>
          <t>AI工程师</t>
        </is>
      </c>
      <c r="G83" s="9" t="n">
        <v>2</v>
      </c>
      <c r="H83" s="9" t="inlineStr">
        <is>
          <t>2026-W18</t>
        </is>
      </c>
      <c r="I83" s="9" t="inlineStr">
        <is>
          <t>2026-W18</t>
        </is>
      </c>
      <c r="J83" s="7" t="inlineStr">
        <is>
          <t>MVP-BIB-010</t>
        </is>
      </c>
      <c r="K83" s="6" t="inlineStr">
        <is>
          <t>未开始</t>
        </is>
      </c>
      <c r="L83" s="7" t="inlineStr">
        <is>
          <t>【目标】实现一致性冲突检测服务
【源文件路径】ai-service/app/services/conflict_detector.py
【实现步骤】
1. 创建ConflictDetector类
2. 实现detect_conflicts(work_id, content, chapter_id)：
   - 获取知识库设定（角色/世界观/时间线）
   - 使用AI对比新内容与设定
   - 返回ConsistencyWarning列表
3. 角色一致性：对比新内容中的角色描写与知识库设定
4. 设定一致性：对比新内容与世界观规则
5. 警告信息格式：{ type, description, location, suggestion, severity }
【运行命令】pytest ai-service/tests/services/test_conflict_detector.py -v</t>
        </is>
      </c>
      <c r="M83" s="7" t="inlineStr">
        <is>
          <t>冲突检测实现完成，角色/设定/时间线冲突均可检测</t>
        </is>
      </c>
      <c r="N83" s="7" t="inlineStr"/>
    </row>
    <row r="84" ht="200" customHeight="1">
      <c r="A84" s="2" t="inlineStr">
        <is>
          <t>MVP-BIB-012</t>
        </is>
      </c>
      <c r="B84" s="2" t="inlineStr">
        <is>
          <t>冲突检测 - 验收</t>
        </is>
      </c>
      <c r="C84" s="12" t="inlineStr">
        <is>
          <t>Acceptance验收</t>
        </is>
      </c>
      <c r="D84" s="2" t="inlineStr">
        <is>
          <t>知识库</t>
        </is>
      </c>
      <c r="E84" s="4" t="inlineStr">
        <is>
          <t>P0</t>
        </is>
      </c>
      <c r="F84" s="5" t="inlineStr">
        <is>
          <t>AI工程师</t>
        </is>
      </c>
      <c r="G84" s="5" t="n">
        <v>1</v>
      </c>
      <c r="H84" s="5" t="inlineStr">
        <is>
          <t>2026-W18</t>
        </is>
      </c>
      <c r="I84" s="5" t="inlineStr">
        <is>
          <t>2026-W18</t>
        </is>
      </c>
      <c r="J84" s="2" t="inlineStr">
        <is>
          <t>MVP-BIB-011</t>
        </is>
      </c>
      <c r="K84" s="6" t="inlineStr">
        <is>
          <t>未开始</t>
        </is>
      </c>
      <c r="L84" s="2" t="inlineStr">
        <is>
          <t>【目标】冲突检测端到端验收
【测试场景】
1. 角色外貌矛盾 → 检测到并返回具体位置
2. 世界观违反 → 检测到
3. 无冲突 → 不误报
4. 警告信息具体（指出矛盾点+建议）
【验收检查项】
□ 冲突检测准确
□ 无误报
□ 警告信息具体有用
【运行命令】pytest ai-service/tests/services/test_conflict_detector.py -v</t>
        </is>
      </c>
      <c r="M84" s="2" t="inlineStr">
        <is>
          <t>冲突检测验收通过</t>
        </is>
      </c>
      <c r="N84" s="2" t="inlineStr"/>
    </row>
    <row r="85" ht="200" customHeight="1">
      <c r="A85" s="7" t="inlineStr">
        <is>
          <t>MVP-BIB-013</t>
        </is>
      </c>
      <c r="B85" s="7" t="inlineStr">
        <is>
          <t>知识库服务端API - 测试</t>
        </is>
      </c>
      <c r="C85" s="4" t="inlineStr">
        <is>
          <t>Red测试</t>
        </is>
      </c>
      <c r="D85" s="7" t="inlineStr">
        <is>
          <t>知识库</t>
        </is>
      </c>
      <c r="E85" s="4" t="inlineStr">
        <is>
          <t>P0</t>
        </is>
      </c>
      <c r="F85" s="9" t="inlineStr">
        <is>
          <t>后端</t>
        </is>
      </c>
      <c r="G85" s="9" t="n">
        <v>1</v>
      </c>
      <c r="H85" s="9" t="inlineStr">
        <is>
          <t>2026-W18</t>
        </is>
      </c>
      <c r="I85" s="9" t="inlineStr">
        <is>
          <t>2026-W18</t>
        </is>
      </c>
      <c r="J85" s="7" t="inlineStr">
        <is>
          <t>MVP-SRV-003</t>
        </is>
      </c>
      <c r="K85" s="6" t="inlineStr">
        <is>
          <t>未开始</t>
        </is>
      </c>
      <c r="L85" s="7" t="inlineStr">
        <is>
          <t>【目标】编写知识库服务端API测试
【测试框架】pytest + httpx
【测试文件路径】server/service/bible-service/tests/test_bible_api.py
【测试用例清单】
1. test_crud：知识库CRUD → 201/200/204
2. test_extract：AI提取 → 200 + 提取结果
3. test_search：全文搜索 → 返回匹配
4. test_conflicts：冲突检测 → 返回警告列表
5. test_version_history：版本历史 → 可回滚
【运行命令】pytest server/service/bible-service/tests/test_bible_api.py -v</t>
        </is>
      </c>
      <c r="M85" s="7" t="inlineStr">
        <is>
          <t>5个知识库API测试用例通过</t>
        </is>
      </c>
      <c r="N85" s="7" t="inlineStr"/>
    </row>
    <row r="86" ht="200" customHeight="1">
      <c r="A86" s="2" t="inlineStr">
        <is>
          <t>MVP-BIB-014</t>
        </is>
      </c>
      <c r="B86" s="2" t="inlineStr">
        <is>
          <t>知识库服务端API - 实现</t>
        </is>
      </c>
      <c r="C86" s="8" t="inlineStr">
        <is>
          <t>Green实现</t>
        </is>
      </c>
      <c r="D86" s="2" t="inlineStr">
        <is>
          <t>知识库</t>
        </is>
      </c>
      <c r="E86" s="4" t="inlineStr">
        <is>
          <t>P0</t>
        </is>
      </c>
      <c r="F86" s="5" t="inlineStr">
        <is>
          <t>后端</t>
        </is>
      </c>
      <c r="G86" s="5" t="n">
        <v>2</v>
      </c>
      <c r="H86" s="5" t="inlineStr">
        <is>
          <t>2026-W18</t>
        </is>
      </c>
      <c r="I86" s="5" t="inlineStr">
        <is>
          <t>2026-W18</t>
        </is>
      </c>
      <c r="J86" s="2" t="inlineStr">
        <is>
          <t>MVP-BIB-013</t>
        </is>
      </c>
      <c r="K86" s="6" t="inlineStr">
        <is>
          <t>未开始</t>
        </is>
      </c>
      <c r="L86" s="2" t="inlineStr">
        <is>
          <t>【目标】实现知识库服务端API
【源文件路径】server/service/bible-service/
【API端点】
- POST /works/:id/bible → 创建条目
- GET /bible/:id → 获取条目
- PUT /bible/:id → 更新条目
- DELETE /bible/:id → 删除条目
- POST /works/:id/bible/extract → AI提取
- GET /works/:id/bible/search → 搜索
- POST /works/:id/bible/conflicts → 冲突检测
【实现步骤】
1. CRUD操作（PostgreSQL）
2. AI提取：调用AI服务的entity_extractor
3. 搜索：调用Elasticsearch
4. 冲突检测：调用AI服务的conflict_detector
5. 版本历史：每次更新保存快照
【运行命令】pytest server/service/bible-service/tests/test_bible_api.py -v</t>
        </is>
      </c>
      <c r="M86" s="2" t="inlineStr">
        <is>
          <t>知识库API实现完成，CRUD/提取/搜索/冲突检测均正常</t>
        </is>
      </c>
      <c r="N86" s="2" t="inlineStr"/>
    </row>
    <row r="87" ht="200" customHeight="1">
      <c r="A87" s="7" t="inlineStr">
        <is>
          <t>MVP-BIB-015</t>
        </is>
      </c>
      <c r="B87" s="7" t="inlineStr">
        <is>
          <t>知识库服务端API - 验收</t>
        </is>
      </c>
      <c r="C87" s="12" t="inlineStr">
        <is>
          <t>Acceptance验收</t>
        </is>
      </c>
      <c r="D87" s="7" t="inlineStr">
        <is>
          <t>知识库</t>
        </is>
      </c>
      <c r="E87" s="4" t="inlineStr">
        <is>
          <t>P0</t>
        </is>
      </c>
      <c r="F87" s="9" t="inlineStr">
        <is>
          <t>后端</t>
        </is>
      </c>
      <c r="G87" s="9" t="n">
        <v>1</v>
      </c>
      <c r="H87" s="9" t="inlineStr">
        <is>
          <t>2026-W18</t>
        </is>
      </c>
      <c r="I87" s="9" t="inlineStr">
        <is>
          <t>2026-W18</t>
        </is>
      </c>
      <c r="J87" s="7" t="inlineStr">
        <is>
          <t>MVP-BIB-014</t>
        </is>
      </c>
      <c r="K87" s="6" t="inlineStr">
        <is>
          <t>未开始</t>
        </is>
      </c>
      <c r="L87" s="7" t="inlineStr">
        <is>
          <t>【目标】知识库API端到端验收
【测试场景】
1. 知识库CRUD → 完整流程
2. AI提取 → 提取结果正确
3. 搜索 → 返回匹配
4. 冲突检测 → 警告列表正确
5. 版本历史 → 可回滚
【验收检查项】
□ CRUD完整
□ AI提取准确
□ 搜索正常
□ 冲突检测正确
□ 版本历史可回滚
【运行命令】pytest server/service/bible-service/tests/test_bible_api.py -v</t>
        </is>
      </c>
      <c r="M87" s="7" t="inlineStr">
        <is>
          <t>知识库API验收通过</t>
        </is>
      </c>
      <c r="N87" s="7" t="inlineStr"/>
    </row>
    <row r="88" ht="200" customHeight="1">
      <c r="A88" s="2" t="inlineStr">
        <is>
          <t>MVP-RAG-001</t>
        </is>
      </c>
      <c r="B88" s="2" t="inlineStr">
        <is>
          <t>向量化 - 测试</t>
        </is>
      </c>
      <c r="C88" s="4" t="inlineStr">
        <is>
          <t>Red测试</t>
        </is>
      </c>
      <c r="D88" s="2" t="inlineStr">
        <is>
          <t>RAG系统</t>
        </is>
      </c>
      <c r="E88" s="4" t="inlineStr">
        <is>
          <t>P0</t>
        </is>
      </c>
      <c r="F88" s="5" t="inlineStr">
        <is>
          <t>AI工程师</t>
        </is>
      </c>
      <c r="G88" s="5" t="n">
        <v>1</v>
      </c>
      <c r="H88" s="5" t="inlineStr">
        <is>
          <t>2026-W20</t>
        </is>
      </c>
      <c r="I88" s="5" t="inlineStr">
        <is>
          <t>2026-W20</t>
        </is>
      </c>
      <c r="J88" s="2" t="inlineStr">
        <is>
          <t>MVP-SRV-006</t>
        </is>
      </c>
      <c r="K88" s="6" t="inlineStr">
        <is>
          <t>未开始</t>
        </is>
      </c>
      <c r="L88" s="2" t="inlineStr">
        <is>
          <t>【目标】编写向量化服务测试
【测试框架】pytest
【测试文件路径】ai-service/tests/services/test_vectorizer.py
【测试用例清单】
1. test_split_paragraph：段落切分 → 每段约500 tokens，重叠50 tokens
2. test_embed_content：Embedding生成 → 返回1536维向量
3. test_store_milvus：Milvus存储 → 返回ids
4. test_retrieve：向量检索 → 返回top_k相关段落
5. test_split_preserves_context：切分不破坏上下文语义
【运行命令】pytest ai-service/tests/services/test_vectorizer.py -v</t>
        </is>
      </c>
      <c r="M88" s="2" t="inlineStr">
        <is>
          <t>5个向量化测试用例通过</t>
        </is>
      </c>
      <c r="N88" s="2" t="inlineStr"/>
    </row>
    <row r="89" ht="200" customHeight="1">
      <c r="A89" s="7" t="inlineStr">
        <is>
          <t>MVP-RAG-002</t>
        </is>
      </c>
      <c r="B89" s="7" t="inlineStr">
        <is>
          <t>向量化 - 实现</t>
        </is>
      </c>
      <c r="C89" s="8" t="inlineStr">
        <is>
          <t>Green实现</t>
        </is>
      </c>
      <c r="D89" s="7" t="inlineStr">
        <is>
          <t>RAG系统</t>
        </is>
      </c>
      <c r="E89" s="4" t="inlineStr">
        <is>
          <t>P0</t>
        </is>
      </c>
      <c r="F89" s="9" t="inlineStr">
        <is>
          <t>AI工程师</t>
        </is>
      </c>
      <c r="G89" s="9" t="n">
        <v>2</v>
      </c>
      <c r="H89" s="9" t="inlineStr">
        <is>
          <t>2026-W20</t>
        </is>
      </c>
      <c r="I89" s="9" t="inlineStr">
        <is>
          <t>2026-W20</t>
        </is>
      </c>
      <c r="J89" s="7" t="inlineStr">
        <is>
          <t>MVP-RAG-001</t>
        </is>
      </c>
      <c r="K89" s="6" t="inlineStr">
        <is>
          <t>未开始</t>
        </is>
      </c>
      <c r="L89" s="7" t="inlineStr">
        <is>
          <t>【目标】实现向量化服务
【源文件路径】ai-service/app/services/vectorizer.py
【实现步骤】
1. 创建Vectorizer类
2. 实现split_content(content, chunk_size=500, overlap=50)：
   - 按段落边界切分
   - 每段约500 tokens
   - 相邻段重叠50 tokens
3. 实现embed_content(chunks, model="text-embedding-3-large")：
   - 调用OpenAI Embedding API
   - 批量处理（每批最多100个chunk）
   - 返回List[List[float]]（1536维）
4. 实现store_vectors(chunks_with_embeddings, collection_name)：
   - 插入Milvus Collection
   - 返回ids
5. 实现retrieve_vectors(query_embedding, collection_name, top_k=10, filter=None)：
   - Milvus向量相似度搜索
   - 返回RAGResult(context, score, metadata)
【运行命令】pytest ai-service/tests/services/test_vectorizer.py -v</t>
        </is>
      </c>
      <c r="M89" s="7" t="inlineStr">
        <is>
          <t>向量化服务实现完成，切分/Embedding/存储/检索均正常</t>
        </is>
      </c>
      <c r="N89" s="7" t="inlineStr"/>
    </row>
    <row r="90" ht="200" customHeight="1">
      <c r="A90" s="2" t="inlineStr">
        <is>
          <t>MVP-RAG-003</t>
        </is>
      </c>
      <c r="B90" s="2" t="inlineStr">
        <is>
          <t>向量化 - 验收</t>
        </is>
      </c>
      <c r="C90" s="12" t="inlineStr">
        <is>
          <t>Acceptance验收</t>
        </is>
      </c>
      <c r="D90" s="2" t="inlineStr">
        <is>
          <t>RAG系统</t>
        </is>
      </c>
      <c r="E90" s="4" t="inlineStr">
        <is>
          <t>P0</t>
        </is>
      </c>
      <c r="F90" s="5" t="inlineStr">
        <is>
          <t>AI工程师</t>
        </is>
      </c>
      <c r="G90" s="5" t="n">
        <v>1</v>
      </c>
      <c r="H90" s="5" t="inlineStr">
        <is>
          <t>2026-W20</t>
        </is>
      </c>
      <c r="I90" s="5" t="inlineStr">
        <is>
          <t>2026-W20</t>
        </is>
      </c>
      <c r="J90" s="2" t="inlineStr">
        <is>
          <t>MVP-RAG-002</t>
        </is>
      </c>
      <c r="K90" s="6" t="inlineStr">
        <is>
          <t>未开始</t>
        </is>
      </c>
      <c r="L90" s="2" t="inlineStr">
        <is>
          <t>【目标】向量化服务端到端验收
【测试场景】
1. 输入章节文本 → 切分为段落
2. Embedding生成 → 1536维向量
3. Milvus存储 → 成功
4. 语义检索 → 返回相关段落
【验收检查项】
□ 切分合理（不破坏语义）
□ Embedding维度正确
□ 存储成功
□ 检索相关性高
【运行命令】pytest ai-service/tests/services/test_vectorizer.py -v</t>
        </is>
      </c>
      <c r="M90" s="2" t="inlineStr">
        <is>
          <t>向量化服务验收通过</t>
        </is>
      </c>
      <c r="N90" s="2" t="inlineStr"/>
    </row>
    <row r="91" ht="200" customHeight="1">
      <c r="A91" s="7" t="inlineStr">
        <is>
          <t>MVP-RAG-004</t>
        </is>
      </c>
      <c r="B91" s="7" t="inlineStr">
        <is>
          <t>RAG检索增强 - 测试</t>
        </is>
      </c>
      <c r="C91" s="4" t="inlineStr">
        <is>
          <t>Red测试</t>
        </is>
      </c>
      <c r="D91" s="7" t="inlineStr">
        <is>
          <t>RAG系统</t>
        </is>
      </c>
      <c r="E91" s="4" t="inlineStr">
        <is>
          <t>P0</t>
        </is>
      </c>
      <c r="F91" s="9" t="inlineStr">
        <is>
          <t>AI工程师</t>
        </is>
      </c>
      <c r="G91" s="9" t="n">
        <v>1</v>
      </c>
      <c r="H91" s="9" t="inlineStr">
        <is>
          <t>2026-W20</t>
        </is>
      </c>
      <c r="I91" s="9" t="inlineStr">
        <is>
          <t>2026-W20</t>
        </is>
      </c>
      <c r="J91" s="7" t="inlineStr">
        <is>
          <t>MVP-RAG-003</t>
        </is>
      </c>
      <c r="K91" s="6" t="inlineStr">
        <is>
          <t>未开始</t>
        </is>
      </c>
      <c r="L91" s="7" t="inlineStr">
        <is>
          <t>【目标】编写RAG检索增强测试
【测试框架】pytest
【测试文件路径】ai-service/tests/services/test_rag_service.py
【测试用例清单】
1. test_multi_route_retrieval：多路并行检索 → 向量+知识库+全文
2. test_rrf_fusion：RRF融合排序 → 结果合理
3. test_context_assembly：上下文组装 → 格式正确
4. test_token_budget：Token预算控制 → 不超限
5. test_empty_query：空查询处理 → 返回空结果
【运行命令】pytest ai-service/tests/services/test_rag_service.py -v</t>
        </is>
      </c>
      <c r="M91" s="7" t="inlineStr">
        <is>
          <t>5个RAG测试用例通过</t>
        </is>
      </c>
      <c r="N91" s="7" t="inlineStr"/>
    </row>
    <row r="92" ht="200" customHeight="1">
      <c r="A92" s="2" t="inlineStr">
        <is>
          <t>MVP-RAG-005</t>
        </is>
      </c>
      <c r="B92" s="2" t="inlineStr">
        <is>
          <t>RAG检索增强 - 实现</t>
        </is>
      </c>
      <c r="C92" s="8" t="inlineStr">
        <is>
          <t>Green实现</t>
        </is>
      </c>
      <c r="D92" s="2" t="inlineStr">
        <is>
          <t>RAG系统</t>
        </is>
      </c>
      <c r="E92" s="4" t="inlineStr">
        <is>
          <t>P0</t>
        </is>
      </c>
      <c r="F92" s="5" t="inlineStr">
        <is>
          <t>AI工程师</t>
        </is>
      </c>
      <c r="G92" s="5" t="n">
        <v>2</v>
      </c>
      <c r="H92" s="5" t="inlineStr">
        <is>
          <t>2026-W20</t>
        </is>
      </c>
      <c r="I92" s="5" t="inlineStr">
        <is>
          <t>2026-W20</t>
        </is>
      </c>
      <c r="J92" s="2" t="inlineStr">
        <is>
          <t>MVP-RAG-004</t>
        </is>
      </c>
      <c r="K92" s="6" t="inlineStr">
        <is>
          <t>未开始</t>
        </is>
      </c>
      <c r="L92" s="2" t="inlineStr">
        <is>
          <t>【目标】实现RAG检索增强服务
【源文件路径】ai-service/app/services/rag_service.py
【实现步骤】
1. 创建RAGService类
2. 实现retrieve(work_id, query, options)：
   - 多路并行检索：
     a. Milvus向量检索（语义相似度）
     b. PostgreSQL知识库查询（结构化数据）
     c. Elasticsearch全文搜索（关键词匹配）
   - RRF（Reciprocal Rank Fusion）融合排序
   - Token预算控制
   - 返回RAGResult(context, sources, tokens_used)
3. RRF融合算法：
   - score(d) = Σ 1/(k + rank_i(d))，k=60
4. 上下文组装：按相关性排序，拼接为Prompt上下文
【运行命令】pytest ai-service/tests/services/test_rag_service.py -v</t>
        </is>
      </c>
      <c r="M92" s="2" t="inlineStr">
        <is>
          <t>RAG服务实现完成，多路检索+RRF融合+Token控制均正常</t>
        </is>
      </c>
      <c r="N92" s="2" t="inlineStr"/>
    </row>
    <row r="93" ht="200" customHeight="1">
      <c r="A93" s="7" t="inlineStr">
        <is>
          <t>MVP-RAG-006</t>
        </is>
      </c>
      <c r="B93" s="7" t="inlineStr">
        <is>
          <t>RAG检索增强 - 验收</t>
        </is>
      </c>
      <c r="C93" s="12" t="inlineStr">
        <is>
          <t>Acceptance验收</t>
        </is>
      </c>
      <c r="D93" s="7" t="inlineStr">
        <is>
          <t>RAG系统</t>
        </is>
      </c>
      <c r="E93" s="4" t="inlineStr">
        <is>
          <t>P0</t>
        </is>
      </c>
      <c r="F93" s="9" t="inlineStr">
        <is>
          <t>AI工程师</t>
        </is>
      </c>
      <c r="G93" s="9" t="n">
        <v>1</v>
      </c>
      <c r="H93" s="9" t="inlineStr">
        <is>
          <t>2026-W20</t>
        </is>
      </c>
      <c r="I93" s="9" t="inlineStr">
        <is>
          <t>2026-W20</t>
        </is>
      </c>
      <c r="J93" s="7" t="inlineStr">
        <is>
          <t>MVP-RAG-005</t>
        </is>
      </c>
      <c r="K93" s="6" t="inlineStr">
        <is>
          <t>未开始</t>
        </is>
      </c>
      <c r="L93" s="7" t="inlineStr">
        <is>
          <t>【目标】RAG服务端到端验收
【测试场景】
1. 输入创作指令 → 多路检索并行
2. 融合排序 → 结果相关性高
3. 上下文组装 → Token不超限
4. 检索结果相关性 → Top-5准确率≥70%
【验收检查项】
□ 多路检索并行正常
□ RRF融合排序合理
□ Token不超限
□ 检索相关性高
【运行命令】pytest ai-service/tests/services/test_rag_service.py -v</t>
        </is>
      </c>
      <c r="M93" s="7" t="inlineStr">
        <is>
          <t>RAG服务验收通过</t>
        </is>
      </c>
      <c r="N93" s="7" t="inlineStr"/>
    </row>
    <row r="94" ht="200" customHeight="1">
      <c r="A94" s="2" t="inlineStr">
        <is>
          <t>MVP-CON-001</t>
        </is>
      </c>
      <c r="B94" s="2" t="inlineStr">
        <is>
          <t>角色一致性 - 测试</t>
        </is>
      </c>
      <c r="C94" s="4" t="inlineStr">
        <is>
          <t>Red测试</t>
        </is>
      </c>
      <c r="D94" s="2" t="inlineStr">
        <is>
          <t>一致性检查</t>
        </is>
      </c>
      <c r="E94" s="4" t="inlineStr">
        <is>
          <t>P0</t>
        </is>
      </c>
      <c r="F94" s="5" t="inlineStr">
        <is>
          <t>AI工程师</t>
        </is>
      </c>
      <c r="G94" s="5" t="n">
        <v>1</v>
      </c>
      <c r="H94" s="5" t="inlineStr">
        <is>
          <t>2026-W20</t>
        </is>
      </c>
      <c r="I94" s="5" t="inlineStr">
        <is>
          <t>2026-W20</t>
        </is>
      </c>
      <c r="J94" s="2" t="inlineStr">
        <is>
          <t>MVP-BIB-011</t>
        </is>
      </c>
      <c r="K94" s="6" t="inlineStr">
        <is>
          <t>未开始</t>
        </is>
      </c>
      <c r="L94" s="2" t="inlineStr">
        <is>
          <t>【目标】编写角色一致性检查测试
【测试框架】pytest
【测试文件路径】ai-service/tests/services/consistency/test_character_checker.py
【测试用例清单】
1. test_character_appearance_conflict：外貌矛盾 → 警告
2. test_character_personality_conflict：性格矛盾 → 警告
3. test_character_ability_conflict：能力矛盾 → 警告
4. test_no_conflict：无矛盾 → 空列表
【运行命令】pytest ai-service/tests/services/consistency/test_character_checker.py -v</t>
        </is>
      </c>
      <c r="M94" s="2" t="inlineStr">
        <is>
          <t>4个角色一致性测试用例通过</t>
        </is>
      </c>
      <c r="N94" s="2" t="inlineStr"/>
    </row>
    <row r="95" ht="200" customHeight="1">
      <c r="A95" s="7" t="inlineStr">
        <is>
          <t>MVP-CON-002</t>
        </is>
      </c>
      <c r="B95" s="7" t="inlineStr">
        <is>
          <t>角色一致性 - 实现</t>
        </is>
      </c>
      <c r="C95" s="8" t="inlineStr">
        <is>
          <t>Green实现</t>
        </is>
      </c>
      <c r="D95" s="7" t="inlineStr">
        <is>
          <t>一致性检查</t>
        </is>
      </c>
      <c r="E95" s="4" t="inlineStr">
        <is>
          <t>P0</t>
        </is>
      </c>
      <c r="F95" s="9" t="inlineStr">
        <is>
          <t>AI工程师</t>
        </is>
      </c>
      <c r="G95" s="9" t="n">
        <v>2</v>
      </c>
      <c r="H95" s="9" t="inlineStr">
        <is>
          <t>2026-W20</t>
        </is>
      </c>
      <c r="I95" s="9" t="inlineStr">
        <is>
          <t>2026-W20</t>
        </is>
      </c>
      <c r="J95" s="7" t="inlineStr">
        <is>
          <t>MVP-CON-001</t>
        </is>
      </c>
      <c r="K95" s="6" t="inlineStr">
        <is>
          <t>未开始</t>
        </is>
      </c>
      <c r="L95" s="7" t="inlineStr">
        <is>
          <t>【目标】实现角色一致性检查器
【源文件路径】ai-service/app/services/consistency/character_checker.py
【实现步骤】
1. 创建CharacterChecker类
2. 实现check(work_id, content)：
   - 提取内容中提及的角色名
   - 获取知识库中每个角色的设定
   - 使用AI对比新内容与设定
   - 检测维度：外貌/性格/能力/背景
   - 返回ConsistencyWarning列表
3. 警告格式：{ type, character_name, field, expected, actual, suggestion, severity }
【运行命令】pytest ai-service/tests/services/consistency/test_character_checker.py -v</t>
        </is>
      </c>
      <c r="M95" s="7" t="inlineStr">
        <is>
          <t>角色一致性检查器实现完成</t>
        </is>
      </c>
      <c r="N95" s="7" t="inlineStr"/>
    </row>
    <row r="96" ht="200" customHeight="1">
      <c r="A96" s="2" t="inlineStr">
        <is>
          <t>MVP-CON-003</t>
        </is>
      </c>
      <c r="B96" s="2" t="inlineStr">
        <is>
          <t>角色一致性 - 验收</t>
        </is>
      </c>
      <c r="C96" s="12" t="inlineStr">
        <is>
          <t>Acceptance验收</t>
        </is>
      </c>
      <c r="D96" s="2" t="inlineStr">
        <is>
          <t>一致性检查</t>
        </is>
      </c>
      <c r="E96" s="4" t="inlineStr">
        <is>
          <t>P0</t>
        </is>
      </c>
      <c r="F96" s="5" t="inlineStr">
        <is>
          <t>AI工程师</t>
        </is>
      </c>
      <c r="G96" s="5" t="n">
        <v>1</v>
      </c>
      <c r="H96" s="5" t="inlineStr">
        <is>
          <t>2026-W20</t>
        </is>
      </c>
      <c r="I96" s="5" t="inlineStr">
        <is>
          <t>2026-W20</t>
        </is>
      </c>
      <c r="J96" s="2" t="inlineStr">
        <is>
          <t>MVP-CON-002</t>
        </is>
      </c>
      <c r="K96" s="6" t="inlineStr">
        <is>
          <t>未开始</t>
        </is>
      </c>
      <c r="L96" s="2" t="inlineStr">
        <is>
          <t>【目标】角色一致性检查验收
【测试场景】
1. 角色外貌矛盾 → 检测到
2. 性格矛盾 → 检测到
3. 无矛盾 → 不误报
4. 警告包含具体描述+位置+修改建议
【验收检查项】
□ 检测准确
□ 不误报
□ 警告信息具体有用
【运行命令】pytest ai-service/tests/services/consistency/test_character_checker.py -v</t>
        </is>
      </c>
      <c r="M96" s="2" t="inlineStr">
        <is>
          <t>角色一致性验收通过</t>
        </is>
      </c>
      <c r="N96" s="2" t="inlineStr"/>
    </row>
    <row r="97" ht="200" customHeight="1">
      <c r="A97" s="7" t="inlineStr">
        <is>
          <t>MVP-CON-004</t>
        </is>
      </c>
      <c r="B97" s="7" t="inlineStr">
        <is>
          <t>时间线+设定一致性 - 测试</t>
        </is>
      </c>
      <c r="C97" s="4" t="inlineStr">
        <is>
          <t>Red测试</t>
        </is>
      </c>
      <c r="D97" s="7" t="inlineStr">
        <is>
          <t>一致性检查</t>
        </is>
      </c>
      <c r="E97" s="4" t="inlineStr">
        <is>
          <t>P0</t>
        </is>
      </c>
      <c r="F97" s="9" t="inlineStr">
        <is>
          <t>AI工程师</t>
        </is>
      </c>
      <c r="G97" s="9" t="n">
        <v>1</v>
      </c>
      <c r="H97" s="9" t="inlineStr">
        <is>
          <t>2026-W20</t>
        </is>
      </c>
      <c r="I97" s="9" t="inlineStr">
        <is>
          <t>2026-W20</t>
        </is>
      </c>
      <c r="J97" s="7" t="inlineStr">
        <is>
          <t>MVP-CON-002</t>
        </is>
      </c>
      <c r="K97" s="6" t="inlineStr">
        <is>
          <t>未开始</t>
        </is>
      </c>
      <c r="L97" s="7" t="inlineStr">
        <is>
          <t>【目标】编写时间线和设定一致性测试
【测试文件路径】ai-service/tests/services/consistency/test_timeline_setting.py
【测试用例清单】
1. test_timeline_order：时间顺序错误 → 警告
2. test_setting_violation：世界观违反 → 警告
3. test_combined_check：综合检查 → 所有类型
【运行命令】pytest ai-service/tests/services/consistency/test_timeline_setting.py -v</t>
        </is>
      </c>
      <c r="M97" s="7" t="inlineStr">
        <is>
          <t>3个时间线/设定一致性测试用例通过</t>
        </is>
      </c>
      <c r="N97" s="7" t="inlineStr"/>
    </row>
    <row r="98" ht="200" customHeight="1">
      <c r="A98" s="2" t="inlineStr">
        <is>
          <t>MVP-CON-005</t>
        </is>
      </c>
      <c r="B98" s="2" t="inlineStr">
        <is>
          <t>时间线+设定一致性 - 实现</t>
        </is>
      </c>
      <c r="C98" s="8" t="inlineStr">
        <is>
          <t>Green实现</t>
        </is>
      </c>
      <c r="D98" s="2" t="inlineStr">
        <is>
          <t>一致性检查</t>
        </is>
      </c>
      <c r="E98" s="4" t="inlineStr">
        <is>
          <t>P0</t>
        </is>
      </c>
      <c r="F98" s="5" t="inlineStr">
        <is>
          <t>AI工程师</t>
        </is>
      </c>
      <c r="G98" s="5" t="n">
        <v>2</v>
      </c>
      <c r="H98" s="5" t="inlineStr">
        <is>
          <t>2026-W20</t>
        </is>
      </c>
      <c r="I98" s="5" t="inlineStr">
        <is>
          <t>2026-W20</t>
        </is>
      </c>
      <c r="J98" s="2" t="inlineStr">
        <is>
          <t>MVP-CON-004</t>
        </is>
      </c>
      <c r="K98" s="6" t="inlineStr">
        <is>
          <t>未开始</t>
        </is>
      </c>
      <c r="L98" s="2" t="inlineStr">
        <is>
          <t>【目标】实现时间线和设定一致性检查器
【源文件路径】ai-service/app/services/consistency/timeline_checker.py, setting_checker.py
【实现步骤】
1. TimelineChecker：
   - 提取事件时间节点
   - 检查先后顺序
   - 检测时间矛盾
2. SettingChecker：
   - 提取世界观规则引用
   - 对比设定库
   - 检测违反
3. ConsistencyService统一调度
【运行命令】pytest ai-service/tests/services/consistency/test_timeline_setting.py -v</t>
        </is>
      </c>
      <c r="M98" s="2" t="inlineStr">
        <is>
          <t>时间线和设定一致性检查器实现完成</t>
        </is>
      </c>
      <c r="N98" s="2" t="inlineStr"/>
    </row>
    <row r="99" ht="200" customHeight="1">
      <c r="A99" s="7" t="inlineStr">
        <is>
          <t>MVP-CON-006</t>
        </is>
      </c>
      <c r="B99" s="7" t="inlineStr">
        <is>
          <t>时间线+设定一致性 - 验收</t>
        </is>
      </c>
      <c r="C99" s="12" t="inlineStr">
        <is>
          <t>Acceptance验收</t>
        </is>
      </c>
      <c r="D99" s="7" t="inlineStr">
        <is>
          <t>一致性检查</t>
        </is>
      </c>
      <c r="E99" s="4" t="inlineStr">
        <is>
          <t>P0</t>
        </is>
      </c>
      <c r="F99" s="9" t="inlineStr">
        <is>
          <t>AI工程师</t>
        </is>
      </c>
      <c r="G99" s="9" t="n">
        <v>1</v>
      </c>
      <c r="H99" s="9" t="inlineStr">
        <is>
          <t>2026-W20</t>
        </is>
      </c>
      <c r="I99" s="9" t="inlineStr">
        <is>
          <t>2026-W20</t>
        </is>
      </c>
      <c r="J99" s="7" t="inlineStr">
        <is>
          <t>MVP-CON-005</t>
        </is>
      </c>
      <c r="K99" s="6" t="inlineStr">
        <is>
          <t>未开始</t>
        </is>
      </c>
      <c r="L99" s="7" t="inlineStr">
        <is>
          <t>【目标】时间线和设定一致性验收
【验收检查项】
□ 时间线错误检测正确
□ 世界观违反检测正确
□ 综合检查正常
【运行命令】pytest ai-service/tests/services/consistency/</t>
        </is>
      </c>
      <c r="M99" s="7" t="inlineStr">
        <is>
          <t>时间线和设定一致性验收通过</t>
        </is>
      </c>
      <c r="N99" s="7" t="inlineStr"/>
    </row>
    <row r="100" ht="200" customHeight="1">
      <c r="A100" s="2" t="inlineStr">
        <is>
          <t>MVP-CON-007</t>
        </is>
      </c>
      <c r="B100" s="2" t="inlineStr">
        <is>
          <t>DiagnosticsProvider - 测试</t>
        </is>
      </c>
      <c r="C100" s="4" t="inlineStr">
        <is>
          <t>Red测试</t>
        </is>
      </c>
      <c r="D100" s="2" t="inlineStr">
        <is>
          <t>一致性检查</t>
        </is>
      </c>
      <c r="E100" s="4" t="inlineStr">
        <is>
          <t>P0</t>
        </is>
      </c>
      <c r="F100" s="5" t="inlineStr">
        <is>
          <t>前端</t>
        </is>
      </c>
      <c r="G100" s="5" t="n">
        <v>1</v>
      </c>
      <c r="H100" s="5" t="inlineStr">
        <is>
          <t>2026-W20</t>
        </is>
      </c>
      <c r="I100" s="5" t="inlineStr">
        <is>
          <t>2026-W20</t>
        </is>
      </c>
      <c r="J100" s="2" t="inlineStr">
        <is>
          <t>MVP-CON-003</t>
        </is>
      </c>
      <c r="K100" s="6" t="inlineStr">
        <is>
          <t>未开始</t>
        </is>
      </c>
      <c r="L100" s="2" t="inlineStr">
        <is>
          <t>【目标】编写VS Code Diagnostics Provider测试
【测试框架】Vitest
【测试文件路径】extensions/dw-consistency/__tests__/DiagnosticsProvider.test.ts
【测试用例清单】
1. test_provide_diagnostics：提供诊断 → 返回Diagnostic数组
2. test_provide_code_actions：提供修复建议 → CodeAction列表
3. test_severity_levels：严重程度 → Error/Warning/Information
4. test_update_on_save：保存时更新诊断
【运行命令】npx vitest run extensions/dw-consistency/__tests__/DiagnosticsProvider.test.ts</t>
        </is>
      </c>
      <c r="M100" s="2" t="inlineStr">
        <is>
          <t>4个Diagnostics测试用例通过</t>
        </is>
      </c>
      <c r="N100" s="2" t="inlineStr"/>
    </row>
    <row r="101" ht="200" customHeight="1">
      <c r="A101" s="7" t="inlineStr">
        <is>
          <t>MVP-CON-008</t>
        </is>
      </c>
      <c r="B101" s="7" t="inlineStr">
        <is>
          <t>DiagnosticsProvider - 实现</t>
        </is>
      </c>
      <c r="C101" s="8" t="inlineStr">
        <is>
          <t>Green实现</t>
        </is>
      </c>
      <c r="D101" s="7" t="inlineStr">
        <is>
          <t>一致性检查</t>
        </is>
      </c>
      <c r="E101" s="4" t="inlineStr">
        <is>
          <t>P0</t>
        </is>
      </c>
      <c r="F101" s="9" t="inlineStr">
        <is>
          <t>前端</t>
        </is>
      </c>
      <c r="G101" s="9" t="n">
        <v>2</v>
      </c>
      <c r="H101" s="9" t="inlineStr">
        <is>
          <t>2026-W20</t>
        </is>
      </c>
      <c r="I101" s="9" t="inlineStr">
        <is>
          <t>2026-W20</t>
        </is>
      </c>
      <c r="J101" s="7" t="inlineStr">
        <is>
          <t>MVP-CON-007</t>
        </is>
      </c>
      <c r="K101" s="6" t="inlineStr">
        <is>
          <t>未开始</t>
        </is>
      </c>
      <c r="L101" s="7" t="inlineStr">
        <is>
          <t>【目标】实现VS Code Diagnostics Provider，在编辑器中显示一致性警告
【源文件路径】extensions/dw-consistency/src/DiagnosticsProvider.ts
【实现步骤】
1. 创建DiagnosticsProvider（implements vscode.DiagnosticProvider）
2. 注册DiagnosticsProvider：
   - vscode.languages.registerDiagnosticsProvider({ pattern: "**/*.txt" }, provider)
3. 实现provideDiagnostics(document)：
   - 获取文档内容
   - 调用一致性检查API
   - 将警告转换为vscode.Diagnostic
   - severity: Error(角色矛盾) / Warning(设定违反) / Information(建议)
4. 实现CodeActionProvider：
   - 提供修复建议（基于AI返回的suggestion）
   - 用户点击Quick Fix → 应用修复
5. 监听onDidSaveTextDocument → 自动触发检查
【运行命令】npx vitest run extensions/dw-consistency/__tests__/DiagnosticsProvider.test.ts</t>
        </is>
      </c>
      <c r="M101" s="7" t="inlineStr">
        <is>
          <t>DiagnosticsProvider实现完成，编辑器中显示波浪线和修复建议</t>
        </is>
      </c>
      <c r="N101" s="7" t="inlineStr"/>
    </row>
    <row r="102" ht="200" customHeight="1">
      <c r="A102" s="2" t="inlineStr">
        <is>
          <t>MVP-CON-009</t>
        </is>
      </c>
      <c r="B102" s="2" t="inlineStr">
        <is>
          <t>DiagnosticsProvider - 验收</t>
        </is>
      </c>
      <c r="C102" s="12" t="inlineStr">
        <is>
          <t>Acceptance验收</t>
        </is>
      </c>
      <c r="D102" s="2" t="inlineStr">
        <is>
          <t>一致性检查</t>
        </is>
      </c>
      <c r="E102" s="4" t="inlineStr">
        <is>
          <t>P0</t>
        </is>
      </c>
      <c r="F102" s="5" t="inlineStr">
        <is>
          <t>前端</t>
        </is>
      </c>
      <c r="G102" s="5" t="n">
        <v>1</v>
      </c>
      <c r="H102" s="5" t="inlineStr">
        <is>
          <t>2026-W20</t>
        </is>
      </c>
      <c r="I102" s="5" t="inlineStr">
        <is>
          <t>2026-W20</t>
        </is>
      </c>
      <c r="J102" s="2" t="inlineStr">
        <is>
          <t>MVP-CON-008</t>
        </is>
      </c>
      <c r="K102" s="6" t="inlineStr">
        <is>
          <t>未开始</t>
        </is>
      </c>
      <c r="L102" s="2" t="inlineStr">
        <is>
          <t>【目标】Diagnostics Provider端到端验收
【测试场景】
1. 编辑器中显示波浪线 → 严重程度颜色区分
2. 悬停显示错误详情
3. CodeAction提供修复建议
4. 保存时自动检查
【验收检查项】
□ 波浪线显示正确
□ 悬停信息正确
□ 修复建议可用
□ 自动检查触发
【运行命令】F5启动Extension Development Host</t>
        </is>
      </c>
      <c r="M102" s="2" t="inlineStr">
        <is>
          <t>Diagnostics Provider验收通过</t>
        </is>
      </c>
      <c r="N102" s="2" t="inlineStr"/>
    </row>
    <row r="103" ht="200" customHeight="1">
      <c r="A103" s="7" t="inlineStr">
        <is>
          <t>MVP-CON-010</t>
        </is>
      </c>
      <c r="B103" s="7" t="inlineStr">
        <is>
          <t>伏笔追踪 - 测试</t>
        </is>
      </c>
      <c r="C103" s="4" t="inlineStr">
        <is>
          <t>Red测试</t>
        </is>
      </c>
      <c r="D103" s="7" t="inlineStr">
        <is>
          <t>一致性检查</t>
        </is>
      </c>
      <c r="E103" s="10" t="inlineStr">
        <is>
          <t>P1</t>
        </is>
      </c>
      <c r="F103" s="9" t="inlineStr">
        <is>
          <t>AI工程师</t>
        </is>
      </c>
      <c r="G103" s="9" t="n">
        <v>1</v>
      </c>
      <c r="H103" s="9" t="inlineStr">
        <is>
          <t>2026-W20</t>
        </is>
      </c>
      <c r="I103" s="9" t="inlineStr">
        <is>
          <t>2026-W20</t>
        </is>
      </c>
      <c r="J103" s="7" t="inlineStr">
        <is>
          <t>MVP-CON-005</t>
        </is>
      </c>
      <c r="K103" s="6" t="inlineStr">
        <is>
          <t>未开始</t>
        </is>
      </c>
      <c r="L103" s="7" t="inlineStr">
        <is>
          <t>【目标】编写伏笔追踪测试
【测试文件路径】ai-service/tests/services/consistency/test_foreshadow_tracker.py
【测试用例清单】
1. test_track_foreshadowing：追踪伏笔 → 记录到数据库
2. test_remind_unrecovered：超过20章未回收 → 提醒
3. test_mark_resolved：检测到回收 → 自动更新状态
【运行命令】pytest ai-service/tests/services/consistency/test_foreshadow_tracker.py -v</t>
        </is>
      </c>
      <c r="M103" s="7" t="inlineStr">
        <is>
          <t>3个伏笔追踪测试用例通过</t>
        </is>
      </c>
      <c r="N103" s="7" t="inlineStr"/>
    </row>
    <row r="104" ht="200" customHeight="1">
      <c r="A104" s="2" t="inlineStr">
        <is>
          <t>MVP-CON-011</t>
        </is>
      </c>
      <c r="B104" s="2" t="inlineStr">
        <is>
          <t>伏笔追踪 - 实现</t>
        </is>
      </c>
      <c r="C104" s="8" t="inlineStr">
        <is>
          <t>Green实现</t>
        </is>
      </c>
      <c r="D104" s="2" t="inlineStr">
        <is>
          <t>一致性检查</t>
        </is>
      </c>
      <c r="E104" s="10" t="inlineStr">
        <is>
          <t>P1</t>
        </is>
      </c>
      <c r="F104" s="5" t="inlineStr">
        <is>
          <t>AI工程师</t>
        </is>
      </c>
      <c r="G104" s="5" t="n">
        <v>2</v>
      </c>
      <c r="H104" s="5" t="inlineStr">
        <is>
          <t>2026-W20</t>
        </is>
      </c>
      <c r="I104" s="5" t="inlineStr">
        <is>
          <t>2026-W20</t>
        </is>
      </c>
      <c r="J104" s="2" t="inlineStr">
        <is>
          <t>MVP-CON-010</t>
        </is>
      </c>
      <c r="K104" s="6" t="inlineStr">
        <is>
          <t>未开始</t>
        </is>
      </c>
      <c r="L104" s="2" t="inlineStr">
        <is>
          <t>【目标】实现伏笔追踪服务
【源文件路径】ai-service/app/services/consistency/foreshadow_tracker.py
【实现步骤】
1. 创建ForeshadowTracker类
2. 实现track(work_id, content, chapter_id)：
   - 使用AI检测伏笔关键词（暗示、伏笔、预示等）
   - 记录到foreshadowing表
3. 实现check_unrecovered(work_id)：
   - 查询超过20章未回收的伏笔
   - 返回提醒列表
4. 实现detect_resolution(work_id, content, chapter_id)：
   - 检测内容中是否回收了已有伏笔
   - 自动更新status为"resolved"
【运行命令】pytest ai-service/tests/services/consistency/test_foreshadow_tracker.py -v</t>
        </is>
      </c>
      <c r="M104" s="2" t="inlineStr">
        <is>
          <t>伏笔追踪实现完成</t>
        </is>
      </c>
      <c r="N104" s="2" t="inlineStr"/>
    </row>
    <row r="105" ht="200" customHeight="1">
      <c r="A105" s="7" t="inlineStr">
        <is>
          <t>MVP-CON-012</t>
        </is>
      </c>
      <c r="B105" s="7" t="inlineStr">
        <is>
          <t>伏笔追踪 - 验收</t>
        </is>
      </c>
      <c r="C105" s="12" t="inlineStr">
        <is>
          <t>Acceptance验收</t>
        </is>
      </c>
      <c r="D105" s="7" t="inlineStr">
        <is>
          <t>一致性检查</t>
        </is>
      </c>
      <c r="E105" s="10" t="inlineStr">
        <is>
          <t>P1</t>
        </is>
      </c>
      <c r="F105" s="9" t="inlineStr">
        <is>
          <t>AI工程师</t>
        </is>
      </c>
      <c r="G105" s="9" t="n">
        <v>1</v>
      </c>
      <c r="H105" s="9" t="inlineStr">
        <is>
          <t>2026-W20</t>
        </is>
      </c>
      <c r="I105" s="9" t="inlineStr">
        <is>
          <t>2026-W20</t>
        </is>
      </c>
      <c r="J105" s="7" t="inlineStr">
        <is>
          <t>MVP-CON-011</t>
        </is>
      </c>
      <c r="K105" s="6" t="inlineStr">
        <is>
          <t>未开始</t>
        </is>
      </c>
      <c r="L105" s="7" t="inlineStr">
        <is>
          <t>【目标】伏笔追踪验收
【测试场景】
1. 埋设伏笔 → 自动记录
2. 超时 → 提醒
3. 回收 → 自动标记
【验收检查项】
□ 伏笔自动记录
□ 超时提醒
□ 回收自动标记
【运行命令】pytest ai-service/tests/services/consistency/test_foreshadow_tracker.py -v</t>
        </is>
      </c>
      <c r="M105" s="7" t="inlineStr">
        <is>
          <t>伏笔追踪验收通过</t>
        </is>
      </c>
      <c r="N105" s="7" t="inlineStr"/>
    </row>
    <row r="106" ht="200" customHeight="1">
      <c r="A106" s="2" t="inlineStr">
        <is>
          <t>MVP-OUT-001</t>
        </is>
      </c>
      <c r="B106" s="2" t="inlineStr">
        <is>
          <t>OutlineProvider - 测试</t>
        </is>
      </c>
      <c r="C106" s="4" t="inlineStr">
        <is>
          <t>Red测试</t>
        </is>
      </c>
      <c r="D106" s="2" t="inlineStr">
        <is>
          <t>大纲管理</t>
        </is>
      </c>
      <c r="E106" s="4" t="inlineStr">
        <is>
          <t>P0</t>
        </is>
      </c>
      <c r="F106" s="5" t="inlineStr">
        <is>
          <t>前端</t>
        </is>
      </c>
      <c r="G106" s="5" t="n">
        <v>1</v>
      </c>
      <c r="H106" s="5" t="inlineStr">
        <is>
          <t>2026-W20</t>
        </is>
      </c>
      <c r="I106" s="5" t="inlineStr">
        <is>
          <t>2026-W20</t>
        </is>
      </c>
      <c r="J106" s="2" t="inlineStr">
        <is>
          <t>MVP-CLI-005</t>
        </is>
      </c>
      <c r="K106" s="6" t="inlineStr">
        <is>
          <t>未开始</t>
        </is>
      </c>
      <c r="L106" s="2" t="inlineStr">
        <is>
          <t>【目标】编写大纲Provider测试
【测试框架】Vitest
【测试文件路径】extensions/dw-outline/__tests__/OutlineProvider.test.ts
【测试用例清单】
1. test_getChildren_volumes：卷级节点
2. test_getChildren_chapters：章节级节点
3. test_getTreeItem_status：状态图标（定稿/写作中/待写/初稿/精修）
4. test_collapse_expand：折叠展开
5. test_word_count_display：字数显示
【运行命令】npx vitest run extensions/dw-outline/__tests__/OutlineProvider.test.ts</t>
        </is>
      </c>
      <c r="M106" s="2" t="inlineStr">
        <is>
          <t>5个大纲Provider测试用例通过</t>
        </is>
      </c>
      <c r="N106" s="2" t="inlineStr"/>
    </row>
    <row r="107" ht="200" customHeight="1">
      <c r="A107" s="7" t="inlineStr">
        <is>
          <t>MVP-OUT-002</t>
        </is>
      </c>
      <c r="B107" s="7" t="inlineStr">
        <is>
          <t>OutlineProvider - 实现</t>
        </is>
      </c>
      <c r="C107" s="8" t="inlineStr">
        <is>
          <t>Green实现</t>
        </is>
      </c>
      <c r="D107" s="7" t="inlineStr">
        <is>
          <t>大纲管理</t>
        </is>
      </c>
      <c r="E107" s="4" t="inlineStr">
        <is>
          <t>P0</t>
        </is>
      </c>
      <c r="F107" s="9" t="inlineStr">
        <is>
          <t>前端</t>
        </is>
      </c>
      <c r="G107" s="9" t="n">
        <v>2</v>
      </c>
      <c r="H107" s="9" t="inlineStr">
        <is>
          <t>2026-W20</t>
        </is>
      </c>
      <c r="I107" s="9" t="inlineStr">
        <is>
          <t>2026-W20</t>
        </is>
      </c>
      <c r="J107" s="7" t="inlineStr">
        <is>
          <t>MVP-OUT-001</t>
        </is>
      </c>
      <c r="K107" s="6" t="inlineStr">
        <is>
          <t>未开始</t>
        </is>
      </c>
      <c r="L107" s="7" t="inlineStr">
        <is>
          <t>【目标】实现大纲Provider
【源文件路径】extensions/dw-outline/src/OutlineProvider.ts
【实现步骤】
1. 创建OutlineProvider（implements TreeDataProvider&lt;OutlineNode&gt;）
2. 多级树：卷 → 章 → 节
3. 状态图标：✅定稿/🔵写作中/⏸️待写/🟡初稿/🟣精修
4. 字数显示：每个章节显示字数
5. 拖拽排序：支持章节拖拽重排
6. 点击跳转：打开对应章节文件
【运行命令】npx vitest run extensions/dw-outline/__tests__/OutlineProvider.test.ts</t>
        </is>
      </c>
      <c r="M107" s="7" t="inlineStr">
        <is>
          <t>大纲Provider实现完成，多级树和状态图标正确</t>
        </is>
      </c>
      <c r="N107" s="7" t="inlineStr"/>
    </row>
    <row r="108" ht="200" customHeight="1">
      <c r="A108" s="2" t="inlineStr">
        <is>
          <t>MVP-OUT-003</t>
        </is>
      </c>
      <c r="B108" s="2" t="inlineStr">
        <is>
          <t>OutlineProvider - 验收</t>
        </is>
      </c>
      <c r="C108" s="12" t="inlineStr">
        <is>
          <t>Acceptance验收</t>
        </is>
      </c>
      <c r="D108" s="2" t="inlineStr">
        <is>
          <t>大纲管理</t>
        </is>
      </c>
      <c r="E108" s="4" t="inlineStr">
        <is>
          <t>P0</t>
        </is>
      </c>
      <c r="F108" s="5" t="inlineStr">
        <is>
          <t>前端</t>
        </is>
      </c>
      <c r="G108" s="5" t="n">
        <v>1</v>
      </c>
      <c r="H108" s="5" t="inlineStr">
        <is>
          <t>2026-W20</t>
        </is>
      </c>
      <c r="I108" s="5" t="inlineStr">
        <is>
          <t>2026-W20</t>
        </is>
      </c>
      <c r="J108" s="2" t="inlineStr">
        <is>
          <t>MVP-OUT-002</t>
        </is>
      </c>
      <c r="K108" s="6" t="inlineStr">
        <is>
          <t>未开始</t>
        </is>
      </c>
      <c r="L108" s="2" t="inlineStr">
        <is>
          <t>【目标】大纲Provider端到端验收
【测试场景】
1. 多级大纲树 → 卷→章→节
2. 状态图标正确
3. 字数显示
4. 折叠展开
5. 点击跳转
【验收检查项】
□ 多级树正确
□ 状态图标正确
□ 字数显示
□ 跳转正常
【运行命令】F5启动Extension Development Host</t>
        </is>
      </c>
      <c r="M108" s="2" t="inlineStr">
        <is>
          <t>大纲Provider验收通过</t>
        </is>
      </c>
      <c r="N108" s="2" t="inlineStr"/>
    </row>
    <row r="109" ht="200" customHeight="1">
      <c r="A109" s="7" t="inlineStr">
        <is>
          <t>MVP-OUT-004</t>
        </is>
      </c>
      <c r="B109" s="7" t="inlineStr">
        <is>
          <t>大纲-正文联动 - 测试</t>
        </is>
      </c>
      <c r="C109" s="4" t="inlineStr">
        <is>
          <t>Red测试</t>
        </is>
      </c>
      <c r="D109" s="7" t="inlineStr">
        <is>
          <t>大纲管理</t>
        </is>
      </c>
      <c r="E109" s="4" t="inlineStr">
        <is>
          <t>P0</t>
        </is>
      </c>
      <c r="F109" s="9" t="inlineStr">
        <is>
          <t>前端</t>
        </is>
      </c>
      <c r="G109" s="9" t="n">
        <v>1</v>
      </c>
      <c r="H109" s="9" t="inlineStr">
        <is>
          <t>2026-W20</t>
        </is>
      </c>
      <c r="I109" s="9" t="inlineStr">
        <is>
          <t>2026-W20</t>
        </is>
      </c>
      <c r="J109" s="7" t="inlineStr">
        <is>
          <t>MVP-OUT-002</t>
        </is>
      </c>
      <c r="K109" s="6" t="inlineStr">
        <is>
          <t>未开始</t>
        </is>
      </c>
      <c r="L109" s="7" t="inlineStr">
        <is>
          <t>【目标】编写大纲-正文联动测试
【测试文件路径】extensions/dw-outline/__tests__/OutlineSync.test.ts
【测试用例清单】
1. test_click_navigate：点击大纲跳转正文
2. test_status_sync：状态同步
3. test_word_count_sync：字数同步
【运行命令】npx vitest run extensions/dw-outline/__tests__/OutlineSync.test.ts</t>
        </is>
      </c>
      <c r="M109" s="7" t="inlineStr">
        <is>
          <t>3个联动测试用例通过</t>
        </is>
      </c>
      <c r="N109" s="7" t="inlineStr"/>
    </row>
    <row r="110" ht="200" customHeight="1">
      <c r="A110" s="2" t="inlineStr">
        <is>
          <t>MVP-OUT-005</t>
        </is>
      </c>
      <c r="B110" s="2" t="inlineStr">
        <is>
          <t>大纲-正文联动 - 实现</t>
        </is>
      </c>
      <c r="C110" s="8" t="inlineStr">
        <is>
          <t>Green实现</t>
        </is>
      </c>
      <c r="D110" s="2" t="inlineStr">
        <is>
          <t>大纲管理</t>
        </is>
      </c>
      <c r="E110" s="4" t="inlineStr">
        <is>
          <t>P0</t>
        </is>
      </c>
      <c r="F110" s="5" t="inlineStr">
        <is>
          <t>前端</t>
        </is>
      </c>
      <c r="G110" s="5" t="n">
        <v>1</v>
      </c>
      <c r="H110" s="5" t="inlineStr">
        <is>
          <t>2026-W20</t>
        </is>
      </c>
      <c r="I110" s="5" t="inlineStr">
        <is>
          <t>2026-W20</t>
        </is>
      </c>
      <c r="J110" s="2" t="inlineStr">
        <is>
          <t>MVP-OUT-004</t>
        </is>
      </c>
      <c r="K110" s="6" t="inlineStr">
        <is>
          <t>未开始</t>
        </is>
      </c>
      <c r="L110" s="2" t="inlineStr">
        <is>
          <t>【目标】实现大纲-正文联动
【源文件路径】extensions/dw-outline/src/OutlineSync.ts
【实现步骤】
1. 监听大纲点击事件 → 打开对应章节文件 → 移动光标到章节开头
2. 监听编辑器保存事件 → 更新大纲状态和字数
3. 实时字数统计：onDidChangeTextDocument事件
【运行命令】npx vitest run extensions/dw-outline/__tests__/OutlineSync.test.ts</t>
        </is>
      </c>
      <c r="M110" s="2" t="inlineStr">
        <is>
          <t>大纲-正文联动实现完成</t>
        </is>
      </c>
      <c r="N110" s="2" t="inlineStr"/>
    </row>
    <row r="111" ht="200" customHeight="1">
      <c r="A111" s="7" t="inlineStr">
        <is>
          <t>MVP-OUT-006</t>
        </is>
      </c>
      <c r="B111" s="7" t="inlineStr">
        <is>
          <t>大纲-正文联动 - 验收</t>
        </is>
      </c>
      <c r="C111" s="12" t="inlineStr">
        <is>
          <t>Acceptance验收</t>
        </is>
      </c>
      <c r="D111" s="7" t="inlineStr">
        <is>
          <t>大纲管理</t>
        </is>
      </c>
      <c r="E111" s="4" t="inlineStr">
        <is>
          <t>P0</t>
        </is>
      </c>
      <c r="F111" s="9" t="inlineStr">
        <is>
          <t>前端</t>
        </is>
      </c>
      <c r="G111" s="9" t="n">
        <v>1</v>
      </c>
      <c r="H111" s="9" t="inlineStr">
        <is>
          <t>2026-W20</t>
        </is>
      </c>
      <c r="I111" s="9" t="inlineStr">
        <is>
          <t>2026-W20</t>
        </is>
      </c>
      <c r="J111" s="7" t="inlineStr">
        <is>
          <t>MVP-OUT-005</t>
        </is>
      </c>
      <c r="K111" s="6" t="inlineStr">
        <is>
          <t>未开始</t>
        </is>
      </c>
      <c r="L111" s="7" t="inlineStr">
        <is>
          <t>【目标】大纲-正文联动验收
【测试场景】
1. 点击大纲跳转正文
2. 编辑后大纲状态更新
3. 字数实时更新
【验收检查项】
□ 跳转正确
□ 状态同步
□ 字数同步
【运行命令】F5启动Extension Development Host</t>
        </is>
      </c>
      <c r="M111" s="7" t="inlineStr">
        <is>
          <t>大纲-正文联动验收通过</t>
        </is>
      </c>
      <c r="N111" s="7" t="inlineStr"/>
    </row>
    <row r="112" ht="200" customHeight="1">
      <c r="A112" s="2" t="inlineStr">
        <is>
          <t>MVP-UI-001</t>
        </is>
      </c>
      <c r="B112" s="2" t="inlineStr">
        <is>
          <t>AI助手面板 - 测试</t>
        </is>
      </c>
      <c r="C112" s="4" t="inlineStr">
        <is>
          <t>Red测试</t>
        </is>
      </c>
      <c r="D112" s="2" t="inlineStr">
        <is>
          <t>AI面板UI</t>
        </is>
      </c>
      <c r="E112" s="4" t="inlineStr">
        <is>
          <t>P0</t>
        </is>
      </c>
      <c r="F112" s="5" t="inlineStr">
        <is>
          <t>前端</t>
        </is>
      </c>
      <c r="G112" s="5" t="n">
        <v>1</v>
      </c>
      <c r="H112" s="5" t="inlineStr">
        <is>
          <t>2026-W22</t>
        </is>
      </c>
      <c r="I112" s="5" t="inlineStr">
        <is>
          <t>2026-W22</t>
        </is>
      </c>
      <c r="J112" s="2" t="inlineStr">
        <is>
          <t>MVP-EXT-012</t>
        </is>
      </c>
      <c r="K112" s="6" t="inlineStr">
        <is>
          <t>未开始</t>
        </is>
      </c>
      <c r="L112" s="2" t="inlineStr">
        <is>
          <t>【目标】编写AI助手面板Webview测试
【测试框架】Vitest
【测试文件路径】extensions/dw-ai-assistant/__tests__/AIPanelWebview.test.ts
【测试用例清单】
1. test_render_panel：面板渲染 → HTML正确
2. test_model_selector：模型选择器 → 下拉列表正确
3. test_action_buttons：功能按钮 → 6个按钮（续写/扩写/改写/对话/描写/推演）
4. test_context_reference：上下文参考 → 折叠展开
5. test_consistency_check：一致性检查状态 → 显示
6. test_post_message：与Extension通信 → postMessage正确
【运行命令】npx vitest run extensions/dw-ai-assistant/__tests__/AIPanelWebview.test.ts</t>
        </is>
      </c>
      <c r="M112" s="2" t="inlineStr">
        <is>
          <t>6个AI面板测试用例通过</t>
        </is>
      </c>
      <c r="N112" s="2" t="inlineStr"/>
    </row>
    <row r="113" ht="200" customHeight="1">
      <c r="A113" s="7" t="inlineStr">
        <is>
          <t>MVP-UI-002</t>
        </is>
      </c>
      <c r="B113" s="7" t="inlineStr">
        <is>
          <t>AI助手面板 - 实现</t>
        </is>
      </c>
      <c r="C113" s="8" t="inlineStr">
        <is>
          <t>Green实现</t>
        </is>
      </c>
      <c r="D113" s="7" t="inlineStr">
        <is>
          <t>AI面板UI</t>
        </is>
      </c>
      <c r="E113" s="4" t="inlineStr">
        <is>
          <t>P0</t>
        </is>
      </c>
      <c r="F113" s="9" t="inlineStr">
        <is>
          <t>前端</t>
        </is>
      </c>
      <c r="G113" s="9" t="n">
        <v>2</v>
      </c>
      <c r="H113" s="9" t="inlineStr">
        <is>
          <t>2026-W22</t>
        </is>
      </c>
      <c r="I113" s="9" t="inlineStr">
        <is>
          <t>2026-W22</t>
        </is>
      </c>
      <c r="J113" s="7" t="inlineStr">
        <is>
          <t>MVP-UI-001</t>
        </is>
      </c>
      <c r="K113" s="6" t="inlineStr">
        <is>
          <t>未开始</t>
        </is>
      </c>
      <c r="L113" s="7" t="inlineStr">
        <is>
          <t>【目标】实现AI助手面板Webview
【源文件路径】extensions/dw-ai-assistant/src/webview/AIPanelWebview.ts
【实现步骤】
1. 创建Webview面板：
   - vscode.window.createWebviewPanel("dw-ai-panel", "AI助手", ViewColumn.Two)
2. HTML/CSS渲染：
   - 深色主题，与VS Code风格一致
   - 响应式布局
3. 模型选择器下拉：
   - 显示模型名+能力评分
   - 切换模型触发重新加载
4. 2x3功能按钮网格：
   - 续写/扩写/改写/对话/描写/推演
   - 每个按钮有图标和文字
   - 点击触发对应AI命令
5. 可折叠上下文参考：
   - 显示当前上下文摘要
   - 展开/折叠
6. 一致性检查状态：
   - 显示最近一次检查结果
   - 警告数量和详情
7. postMessage与Extension通信
【运行命令】npx vitest run extensions/dw-ai-assistant/__tests__/AIPanelWebview.test.ts</t>
        </is>
      </c>
      <c r="M113" s="7" t="inlineStr">
        <is>
          <t>AI助手面板实现完成，UI渲染正确，交互正常</t>
        </is>
      </c>
      <c r="N113" s="7" t="inlineStr"/>
    </row>
    <row r="114" ht="200" customHeight="1">
      <c r="A114" s="2" t="inlineStr">
        <is>
          <t>MVP-UI-003</t>
        </is>
      </c>
      <c r="B114" s="2" t="inlineStr">
        <is>
          <t>AI助手面板 - 验收</t>
        </is>
      </c>
      <c r="C114" s="12" t="inlineStr">
        <is>
          <t>Acceptance验收</t>
        </is>
      </c>
      <c r="D114" s="2" t="inlineStr">
        <is>
          <t>AI面板UI</t>
        </is>
      </c>
      <c r="E114" s="4" t="inlineStr">
        <is>
          <t>P0</t>
        </is>
      </c>
      <c r="F114" s="5" t="inlineStr">
        <is>
          <t>前端</t>
        </is>
      </c>
      <c r="G114" s="5" t="n">
        <v>1</v>
      </c>
      <c r="H114" s="5" t="inlineStr">
        <is>
          <t>2026-W22</t>
        </is>
      </c>
      <c r="I114" s="5" t="inlineStr">
        <is>
          <t>2026-W22</t>
        </is>
      </c>
      <c r="J114" s="2" t="inlineStr">
        <is>
          <t>MVP-UI-002</t>
        </is>
      </c>
      <c r="K114" s="6" t="inlineStr">
        <is>
          <t>未开始</t>
        </is>
      </c>
      <c r="L114" s="2" t="inlineStr">
        <is>
          <t>【目标】AI助手面板端到端验收
【测试场景】
1. 面板正确渲染
2. 模型切换
3. 按钮点击触发AI操作
4. 上下文参考折叠展开
5. 一致性状态实时更新
【验收检查项】
□ UI渲染正确
□ 模型切换正常
□ 按钮交互正常
□ 上下文参考可用
□ 一致性状态更新
【运行命令】F5启动Extension Development Host</t>
        </is>
      </c>
      <c r="M114" s="2" t="inlineStr">
        <is>
          <t>AI助手面板验收通过</t>
        </is>
      </c>
      <c r="N114" s="2" t="inlineStr"/>
    </row>
    <row r="115" ht="200" customHeight="1">
      <c r="A115" s="7" t="inlineStr">
        <is>
          <t>MVP-UI-004</t>
        </is>
      </c>
      <c r="B115" s="7" t="inlineStr">
        <is>
          <t>模型中心Webview - 测试</t>
        </is>
      </c>
      <c r="C115" s="4" t="inlineStr">
        <is>
          <t>Red测试</t>
        </is>
      </c>
      <c r="D115" s="7" t="inlineStr">
        <is>
          <t>AI面板UI</t>
        </is>
      </c>
      <c r="E115" s="10" t="inlineStr">
        <is>
          <t>P1</t>
        </is>
      </c>
      <c r="F115" s="9" t="inlineStr">
        <is>
          <t>前端</t>
        </is>
      </c>
      <c r="G115" s="9" t="n">
        <v>1</v>
      </c>
      <c r="H115" s="9" t="inlineStr">
        <is>
          <t>2026-W22</t>
        </is>
      </c>
      <c r="I115" s="9" t="inlineStr">
        <is>
          <t>2026-W22</t>
        </is>
      </c>
      <c r="J115" s="7" t="inlineStr">
        <is>
          <t>MVP-AI-012</t>
        </is>
      </c>
      <c r="K115" s="6" t="inlineStr">
        <is>
          <t>未开始</t>
        </is>
      </c>
      <c r="L115" s="7" t="inlineStr">
        <is>
          <t>【目标】编写模型中心Webview测试
【测试文件路径】extensions/dw-ai-assistant/__tests__/ModelCenterWebview.test.ts
【测试用例清单】
1. test_model_cards：模型卡片显示正确
2. test_capability_scores：能力评分进度条
3. test_pipeline_config：流水线配置
4. test_add_step：添加步骤
【运行命令】npx vitest run extensions/dw-ai-assistant/__tests__/ModelCenterWebview.test.ts</t>
        </is>
      </c>
      <c r="M115" s="7" t="inlineStr">
        <is>
          <t>4个模型中心测试用例通过</t>
        </is>
      </c>
      <c r="N115" s="7" t="inlineStr"/>
    </row>
    <row r="116" ht="200" customHeight="1">
      <c r="A116" s="2" t="inlineStr">
        <is>
          <t>MVP-UI-005</t>
        </is>
      </c>
      <c r="B116" s="2" t="inlineStr">
        <is>
          <t>模型中心Webview - 实现</t>
        </is>
      </c>
      <c r="C116" s="8" t="inlineStr">
        <is>
          <t>Green实现</t>
        </is>
      </c>
      <c r="D116" s="2" t="inlineStr">
        <is>
          <t>AI面板UI</t>
        </is>
      </c>
      <c r="E116" s="10" t="inlineStr">
        <is>
          <t>P1</t>
        </is>
      </c>
      <c r="F116" s="5" t="inlineStr">
        <is>
          <t>前端</t>
        </is>
      </c>
      <c r="G116" s="5" t="n">
        <v>2</v>
      </c>
      <c r="H116" s="5" t="inlineStr">
        <is>
          <t>2026-W22</t>
        </is>
      </c>
      <c r="I116" s="5" t="inlineStr">
        <is>
          <t>2026-W22</t>
        </is>
      </c>
      <c r="J116" s="2" t="inlineStr">
        <is>
          <t>MVP-UI-004</t>
        </is>
      </c>
      <c r="K116" s="6" t="inlineStr">
        <is>
          <t>未开始</t>
        </is>
      </c>
      <c r="L116" s="2" t="inlineStr">
        <is>
          <t>【目标】实现模型中心Webview
【源文件路径】extensions/dw-ai-assistant/src/webview/ModelCenterWebview.ts
【实现步骤】
1. 2x2模型卡片网格：
   - 模型名/提供商/状态/评分/连接类型/上下文窗口
   - 在线/离线状态指示
2. 4阶段协作流水线（构思→扩写→润色→评审）：
   - 每阶段显示模型链
   - 编辑/测试按钮
   - 拖拽调整阶段顺序
3. 模型能力评分可视化：
   - 续写/描写/推理/对话 四维评分
   - 进度条显示
【运行命令】npx vitest run extensions/dw-ai-assistant/__tests__/ModelCenterWebview.test.ts</t>
        </is>
      </c>
      <c r="M116" s="2" t="inlineStr">
        <is>
          <t>模型中心Webview实现完成</t>
        </is>
      </c>
      <c r="N116" s="2" t="inlineStr"/>
    </row>
    <row r="117" ht="200" customHeight="1">
      <c r="A117" s="7" t="inlineStr">
        <is>
          <t>MVP-UI-006</t>
        </is>
      </c>
      <c r="B117" s="7" t="inlineStr">
        <is>
          <t>模型中心Webview - 验收</t>
        </is>
      </c>
      <c r="C117" s="12" t="inlineStr">
        <is>
          <t>Acceptance验收</t>
        </is>
      </c>
      <c r="D117" s="7" t="inlineStr">
        <is>
          <t>AI面板UI</t>
        </is>
      </c>
      <c r="E117" s="10" t="inlineStr">
        <is>
          <t>P1</t>
        </is>
      </c>
      <c r="F117" s="9" t="inlineStr">
        <is>
          <t>前端</t>
        </is>
      </c>
      <c r="G117" s="9" t="n">
        <v>1</v>
      </c>
      <c r="H117" s="9" t="inlineStr">
        <is>
          <t>2026-W22</t>
        </is>
      </c>
      <c r="I117" s="9" t="inlineStr">
        <is>
          <t>2026-W22</t>
        </is>
      </c>
      <c r="J117" s="7" t="inlineStr">
        <is>
          <t>MVP-UI-005</t>
        </is>
      </c>
      <c r="K117" s="6" t="inlineStr">
        <is>
          <t>未开始</t>
        </is>
      </c>
      <c r="L117" s="7" t="inlineStr">
        <is>
          <t>【目标】模型中心Webview验收
【测试场景】
1. 模型卡片显示
2. 能力评分进度条
3. 流水线可视化
4. 编辑/测试按钮
【验收检查项】
□ 模型卡片正确
□ 评分可视化
□ 流水线可用
□ 交互正常
【运行命令】F5启动Extension Development Host</t>
        </is>
      </c>
      <c r="M117" s="7" t="inlineStr">
        <is>
          <t>模型中心Webview验收通过</t>
        </is>
      </c>
      <c r="N117" s="7" t="inlineStr"/>
    </row>
    <row r="118" ht="200" customHeight="1">
      <c r="A118" s="2" t="inlineStr">
        <is>
          <t>MVP-API-001</t>
        </is>
      </c>
      <c r="B118" s="2" t="inlineStr">
        <is>
          <t>作品API - 测试</t>
        </is>
      </c>
      <c r="C118" s="4" t="inlineStr">
        <is>
          <t>Red测试</t>
        </is>
      </c>
      <c r="D118" s="2" t="inlineStr">
        <is>
          <t>作品管理</t>
        </is>
      </c>
      <c r="E118" s="4" t="inlineStr">
        <is>
          <t>P0</t>
        </is>
      </c>
      <c r="F118" s="5" t="inlineStr">
        <is>
          <t>后端</t>
        </is>
      </c>
      <c r="G118" s="5" t="n">
        <v>1</v>
      </c>
      <c r="H118" s="5" t="inlineStr">
        <is>
          <t>2026-W22</t>
        </is>
      </c>
      <c r="I118" s="5" t="inlineStr">
        <is>
          <t>2026-W22</t>
        </is>
      </c>
      <c r="J118" s="2" t="inlineStr">
        <is>
          <t>MVP-SRV-003</t>
        </is>
      </c>
      <c r="K118" s="6" t="inlineStr">
        <is>
          <t>未开始</t>
        </is>
      </c>
      <c r="L118" s="2" t="inlineStr">
        <is>
          <t>【目标】编写作品API测试
【测试框架】pytest + httpx
【测试文件路径】server/service/work-service/tests/test_work_api.py
【测试用例清单】
1. test_create_work：创建作品 → 201
2. test_get_works：获取列表 → 200 + 分页
3. test_update_work：更新 → 200
4. test_delete_work：删除 → 204
5. test_get_stats：统计数据 → 字数/章节数
【运行命令】pytest server/service/work-service/tests/test_work_api.py -v</t>
        </is>
      </c>
      <c r="M118" s="2" t="inlineStr">
        <is>
          <t>5个作品API测试用例通过</t>
        </is>
      </c>
      <c r="N118" s="2" t="inlineStr"/>
    </row>
    <row r="119" ht="200" customHeight="1">
      <c r="A119" s="7" t="inlineStr">
        <is>
          <t>MVP-API-002</t>
        </is>
      </c>
      <c r="B119" s="7" t="inlineStr">
        <is>
          <t>作品API - 实现</t>
        </is>
      </c>
      <c r="C119" s="8" t="inlineStr">
        <is>
          <t>Green实现</t>
        </is>
      </c>
      <c r="D119" s="7" t="inlineStr">
        <is>
          <t>作品管理</t>
        </is>
      </c>
      <c r="E119" s="4" t="inlineStr">
        <is>
          <t>P0</t>
        </is>
      </c>
      <c r="F119" s="9" t="inlineStr">
        <is>
          <t>后端</t>
        </is>
      </c>
      <c r="G119" s="9" t="n">
        <v>2</v>
      </c>
      <c r="H119" s="9" t="inlineStr">
        <is>
          <t>2026-W22</t>
        </is>
      </c>
      <c r="I119" s="9" t="inlineStr">
        <is>
          <t>2026-W22</t>
        </is>
      </c>
      <c r="J119" s="7" t="inlineStr">
        <is>
          <t>MVP-API-001</t>
        </is>
      </c>
      <c r="K119" s="6" t="inlineStr">
        <is>
          <t>未开始</t>
        </is>
      </c>
      <c r="L119" s="7" t="inlineStr">
        <is>
          <t>【目标】实现作品API
【源文件路径】server/service/work-service/
【API端点】
- POST /works → 创建作品
- GET /works → 获取列表（分页）
- GET /works/:id → 获取详情
- PUT /works/:id → 更新
- DELETE /works/:id → 删除
- GET /works/:id/stats → 统计数据
【实现步骤】
1. CRUD操作
2. 分页查询（page, page_size, sort）
3. 统计数据（总字数/章节数/分支数/最近更新）
【运行命令】pytest server/service/work-service/tests/test_work_api.py -v</t>
        </is>
      </c>
      <c r="M119" s="7" t="inlineStr">
        <is>
          <t>作品API实现完成</t>
        </is>
      </c>
      <c r="N119" s="7" t="inlineStr"/>
    </row>
    <row r="120" ht="200" customHeight="1">
      <c r="A120" s="2" t="inlineStr">
        <is>
          <t>MVP-API-003</t>
        </is>
      </c>
      <c r="B120" s="2" t="inlineStr">
        <is>
          <t>作品API - 验收</t>
        </is>
      </c>
      <c r="C120" s="12" t="inlineStr">
        <is>
          <t>Acceptance验收</t>
        </is>
      </c>
      <c r="D120" s="2" t="inlineStr">
        <is>
          <t>作品管理</t>
        </is>
      </c>
      <c r="E120" s="4" t="inlineStr">
        <is>
          <t>P0</t>
        </is>
      </c>
      <c r="F120" s="5" t="inlineStr">
        <is>
          <t>后端</t>
        </is>
      </c>
      <c r="G120" s="5" t="n">
        <v>1</v>
      </c>
      <c r="H120" s="5" t="inlineStr">
        <is>
          <t>2026-W22</t>
        </is>
      </c>
      <c r="I120" s="5" t="inlineStr">
        <is>
          <t>2026-W22</t>
        </is>
      </c>
      <c r="J120" s="2" t="inlineStr">
        <is>
          <t>MVP-API-002</t>
        </is>
      </c>
      <c r="K120" s="6" t="inlineStr">
        <is>
          <t>未开始</t>
        </is>
      </c>
      <c r="L120" s="2" t="inlineStr">
        <is>
          <t>【目标】作品API验收
【验收检查项】
□ 作品CRUD完整
□ 分页查询正常
□ 统计数据正确
【运行命令】pytest server/service/work-service/tests/test_work_api.py -v</t>
        </is>
      </c>
      <c r="M120" s="2" t="inlineStr">
        <is>
          <t>作品API验收通过</t>
        </is>
      </c>
      <c r="N120" s="2" t="inlineStr"/>
    </row>
    <row r="121" ht="200" customHeight="1">
      <c r="A121" s="7" t="inlineStr">
        <is>
          <t>MVP-API-004</t>
        </is>
      </c>
      <c r="B121" s="7" t="inlineStr">
        <is>
          <t>章节API - 测试</t>
        </is>
      </c>
      <c r="C121" s="4" t="inlineStr">
        <is>
          <t>Red测试</t>
        </is>
      </c>
      <c r="D121" s="7" t="inlineStr">
        <is>
          <t>作品管理</t>
        </is>
      </c>
      <c r="E121" s="4" t="inlineStr">
        <is>
          <t>P0</t>
        </is>
      </c>
      <c r="F121" s="9" t="inlineStr">
        <is>
          <t>后端</t>
        </is>
      </c>
      <c r="G121" s="9" t="n">
        <v>1</v>
      </c>
      <c r="H121" s="9" t="inlineStr">
        <is>
          <t>2026-W22</t>
        </is>
      </c>
      <c r="I121" s="9" t="inlineStr">
        <is>
          <t>2026-W22</t>
        </is>
      </c>
      <c r="J121" s="7" t="inlineStr">
        <is>
          <t>MVP-API-002</t>
        </is>
      </c>
      <c r="K121" s="6" t="inlineStr">
        <is>
          <t>未开始</t>
        </is>
      </c>
      <c r="L121" s="7" t="inlineStr">
        <is>
          <t>【目标】编写章节API测试
【测试文件路径】server/service/chapter-service/tests/test_chapter_api.py
【测试用例清单】
1. test_create_chapter：创建章节 → 201
2. test_update_content：更新内容 → 200
3. test_create_version：创建版本快照 → 201
4. test_get_versions：获取版本列表 → 200
5. test_diff_versions：版本对比 → 200 + diff
【运行命令】pytest server/service/chapter-service/tests/test_chapter_api.py -v</t>
        </is>
      </c>
      <c r="M121" s="7" t="inlineStr">
        <is>
          <t>5个章节API测试用例通过</t>
        </is>
      </c>
      <c r="N121" s="7" t="inlineStr"/>
    </row>
    <row r="122" ht="200" customHeight="1">
      <c r="A122" s="2" t="inlineStr">
        <is>
          <t>MVP-API-005</t>
        </is>
      </c>
      <c r="B122" s="2" t="inlineStr">
        <is>
          <t>章节API - 实现</t>
        </is>
      </c>
      <c r="C122" s="8" t="inlineStr">
        <is>
          <t>Green实现</t>
        </is>
      </c>
      <c r="D122" s="2" t="inlineStr">
        <is>
          <t>作品管理</t>
        </is>
      </c>
      <c r="E122" s="4" t="inlineStr">
        <is>
          <t>P0</t>
        </is>
      </c>
      <c r="F122" s="5" t="inlineStr">
        <is>
          <t>后端</t>
        </is>
      </c>
      <c r="G122" s="5" t="n">
        <v>2</v>
      </c>
      <c r="H122" s="5" t="inlineStr">
        <is>
          <t>2026-W22</t>
        </is>
      </c>
      <c r="I122" s="5" t="inlineStr">
        <is>
          <t>2026-W22</t>
        </is>
      </c>
      <c r="J122" s="2" t="inlineStr">
        <is>
          <t>MVP-API-004</t>
        </is>
      </c>
      <c r="K122" s="6" t="inlineStr">
        <is>
          <t>未开始</t>
        </is>
      </c>
      <c r="L122" s="2" t="inlineStr">
        <is>
          <t>【目标】实现章节API
【源文件路径】server/service/chapter-service/
【API端点】
- POST /works/:id/chapters → 创建章节
- GET /chapters/:id → 获取章节
- PUT /chapters/:id → 更新内容
- POST /chapters/:id/versions → 创建版本快照
- GET /chapters/:id/versions → 获取版本列表
- GET /chapters/:id/diff/:v1/:v2 → 版本对比
【实现步骤】
1. CRUD操作
2. 版本快照：每次保存自动创建版本
3. 版本对比：使用diff算法（Myers diff）
4. 自动保存：debounce 5秒
【运行命令】pytest server/service/chapter-service/tests/test_chapter_api.py -v</t>
        </is>
      </c>
      <c r="M122" s="2" t="inlineStr">
        <is>
          <t>章节API实现完成，版本管理正常</t>
        </is>
      </c>
      <c r="N122" s="2" t="inlineStr"/>
    </row>
    <row r="123" ht="200" customHeight="1">
      <c r="A123" s="7" t="inlineStr">
        <is>
          <t>MVP-API-006</t>
        </is>
      </c>
      <c r="B123" s="7" t="inlineStr">
        <is>
          <t>章节API - 验收</t>
        </is>
      </c>
      <c r="C123" s="12" t="inlineStr">
        <is>
          <t>Acceptance验收</t>
        </is>
      </c>
      <c r="D123" s="7" t="inlineStr">
        <is>
          <t>作品管理</t>
        </is>
      </c>
      <c r="E123" s="4" t="inlineStr">
        <is>
          <t>P0</t>
        </is>
      </c>
      <c r="F123" s="9" t="inlineStr">
        <is>
          <t>后端</t>
        </is>
      </c>
      <c r="G123" s="9" t="n">
        <v>1</v>
      </c>
      <c r="H123" s="9" t="inlineStr">
        <is>
          <t>2026-W22</t>
        </is>
      </c>
      <c r="I123" s="9" t="inlineStr">
        <is>
          <t>2026-W22</t>
        </is>
      </c>
      <c r="J123" s="7" t="inlineStr">
        <is>
          <t>MVP-API-005</t>
        </is>
      </c>
      <c r="K123" s="6" t="inlineStr">
        <is>
          <t>未开始</t>
        </is>
      </c>
      <c r="L123" s="7" t="inlineStr">
        <is>
          <t>【目标】章节API验收
【验收检查项】
□ 章节CRUD完整
□ 版本快照正常
□ 版本对比正确
□ 自动保存生效
【运行命令】pytest server/service/chapter-service/tests/test_chapter_api.py -v</t>
        </is>
      </c>
      <c r="M123" s="7" t="inlineStr">
        <is>
          <t>章节API验收通过</t>
        </is>
      </c>
      <c r="N123" s="7" t="inlineStr"/>
    </row>
    <row r="124" ht="200" customHeight="1">
      <c r="A124" s="2" t="inlineStr">
        <is>
          <t>MVP-LNG-001</t>
        </is>
      </c>
      <c r="B124" s="2" t="inlineStr">
        <is>
          <t>语法高亮 - 测试</t>
        </is>
      </c>
      <c r="C124" s="4" t="inlineStr">
        <is>
          <t>Red测试</t>
        </is>
      </c>
      <c r="D124" s="2" t="inlineStr">
        <is>
          <t>小说语言</t>
        </is>
      </c>
      <c r="E124" s="10" t="inlineStr">
        <is>
          <t>P1</t>
        </is>
      </c>
      <c r="F124" s="5" t="inlineStr">
        <is>
          <t>前端</t>
        </is>
      </c>
      <c r="G124" s="5" t="n">
        <v>1</v>
      </c>
      <c r="H124" s="5" t="inlineStr">
        <is>
          <t>2026-W22</t>
        </is>
      </c>
      <c r="I124" s="5" t="inlineStr">
        <is>
          <t>2026-W22</t>
        </is>
      </c>
      <c r="J124" s="2" t="inlineStr">
        <is>
          <t>MVP-CLI-005</t>
        </is>
      </c>
      <c r="K124" s="6" t="inlineStr">
        <is>
          <t>未开始</t>
        </is>
      </c>
      <c r="L124" s="2" t="inlineStr">
        <is>
          <t>【目标】编写小说语法高亮测试
【测试框架】Vitest
【测试文件路径】extensions/dw-novel-language/__tests__/syntax.test.ts
【测试用例清单】
1. test_chapter_title_highlight：章节标题"第三章"高亮为蓝色
2. test_dialogue_highlight：对话引号"「...」"高亮
3. test_character_name_injection：角色名动态注入高亮
【运行命令】npx vitest run extensions/dw-novel-language/__tests__/syntax.test.ts</t>
        </is>
      </c>
      <c r="M124" s="2" t="inlineStr">
        <is>
          <t>3个语法高亮测试用例通过</t>
        </is>
      </c>
      <c r="N124" s="2" t="inlineStr"/>
    </row>
    <row r="125" ht="200" customHeight="1">
      <c r="A125" s="7" t="inlineStr">
        <is>
          <t>MVP-LNG-002</t>
        </is>
      </c>
      <c r="B125" s="7" t="inlineStr">
        <is>
          <t>语法高亮 - 实现</t>
        </is>
      </c>
      <c r="C125" s="8" t="inlineStr">
        <is>
          <t>Green实现</t>
        </is>
      </c>
      <c r="D125" s="7" t="inlineStr">
        <is>
          <t>小说语言</t>
        </is>
      </c>
      <c r="E125" s="10" t="inlineStr">
        <is>
          <t>P1</t>
        </is>
      </c>
      <c r="F125" s="9" t="inlineStr">
        <is>
          <t>前端</t>
        </is>
      </c>
      <c r="G125" s="9" t="n">
        <v>2</v>
      </c>
      <c r="H125" s="9" t="inlineStr">
        <is>
          <t>2026-W22</t>
        </is>
      </c>
      <c r="I125" s="9" t="inlineStr">
        <is>
          <t>2026-W22</t>
        </is>
      </c>
      <c r="J125" s="7" t="inlineStr">
        <is>
          <t>MVP-LNG-001</t>
        </is>
      </c>
      <c r="K125" s="6" t="inlineStr">
        <is>
          <t>未开始</t>
        </is>
      </c>
      <c r="L125" s="7" t="inlineStr">
        <is>
          <t>【目标】实现小说语法高亮
【源文件路径】extensions/dw-novel-language/syntaxes/novel.tmLanguage.json
【实现步骤】
1. 创建novel.tmLanguage.json：
   - 章节标题：^第[一二三四五六七八九十百千万零]+章 → scope: keyword.control.chapter
   - 对话引号：「...」→ scope: string.quoted.dialogue
   - 旁白括号：（...）→ scope: comment.block.narration
   - 场景标记：※...※ → scope: markup.heading.scene
2. 角色名动态高亮：
   - registerTextEditorDecorationType("characterName")
   - 从知识库获取角色名列表
   - 在文档中查找并高亮
3. 配置主题颜色映射
【运行命令】npx vitest run extensions/dw-novel-language/__tests__/syntax.test.ts</t>
        </is>
      </c>
      <c r="M125" s="7" t="inlineStr">
        <is>
          <t>小说语法高亮实现完成</t>
        </is>
      </c>
      <c r="N125" s="7" t="inlineStr"/>
    </row>
    <row r="126" ht="200" customHeight="1">
      <c r="A126" s="2" t="inlineStr">
        <is>
          <t>MVP-LNG-003</t>
        </is>
      </c>
      <c r="B126" s="2" t="inlineStr">
        <is>
          <t>语法高亮 - 验收</t>
        </is>
      </c>
      <c r="C126" s="12" t="inlineStr">
        <is>
          <t>Acceptance验收</t>
        </is>
      </c>
      <c r="D126" s="2" t="inlineStr">
        <is>
          <t>小说语言</t>
        </is>
      </c>
      <c r="E126" s="10" t="inlineStr">
        <is>
          <t>P1</t>
        </is>
      </c>
      <c r="F126" s="5" t="inlineStr">
        <is>
          <t>前端</t>
        </is>
      </c>
      <c r="G126" s="5" t="n">
        <v>1</v>
      </c>
      <c r="H126" s="5" t="inlineStr">
        <is>
          <t>2026-W22</t>
        </is>
      </c>
      <c r="I126" s="5" t="inlineStr">
        <is>
          <t>2026-W22</t>
        </is>
      </c>
      <c r="J126" s="2" t="inlineStr">
        <is>
          <t>MVP-LNG-002</t>
        </is>
      </c>
      <c r="K126" s="6" t="inlineStr">
        <is>
          <t>未开始</t>
        </is>
      </c>
      <c r="L126" s="2" t="inlineStr">
        <is>
          <t>【目标】语法高亮验收
【测试场景】
1. 章节标题高亮为蓝色
2. 对话引号高亮
3. 知识库角色名自动高亮
【验收检查项】
□ 章节标题高亮
□ 对话引号高亮
□ 角色名动态高亮
【运行命令】F5启动Extension Development Host</t>
        </is>
      </c>
      <c r="M126" s="2" t="inlineStr">
        <is>
          <t>语法高亮验收通过</t>
        </is>
      </c>
      <c r="N126" s="2" t="inlineStr"/>
    </row>
    <row r="127" ht="200" customHeight="1">
      <c r="A127" s="7" t="inlineStr">
        <is>
          <t>MVP-LNG-004</t>
        </is>
      </c>
      <c r="B127" s="7" t="inlineStr">
        <is>
          <t>写作补全 - 测试</t>
        </is>
      </c>
      <c r="C127" s="4" t="inlineStr">
        <is>
          <t>Red测试</t>
        </is>
      </c>
      <c r="D127" s="7" t="inlineStr">
        <is>
          <t>小说语言</t>
        </is>
      </c>
      <c r="E127" s="10" t="inlineStr">
        <is>
          <t>P1</t>
        </is>
      </c>
      <c r="F127" s="9" t="inlineStr">
        <is>
          <t>前端</t>
        </is>
      </c>
      <c r="G127" s="9" t="n">
        <v>1</v>
      </c>
      <c r="H127" s="9" t="inlineStr">
        <is>
          <t>2026-W22</t>
        </is>
      </c>
      <c r="I127" s="9" t="inlineStr">
        <is>
          <t>2026-W22</t>
        </is>
      </c>
      <c r="J127" s="7" t="inlineStr">
        <is>
          <t>MVP-LNG-002</t>
        </is>
      </c>
      <c r="K127" s="6" t="inlineStr">
        <is>
          <t>未开始</t>
        </is>
      </c>
      <c r="L127" s="7" t="inlineStr">
        <is>
          <t>【目标】编写写作补全测试
【测试文件路径】extensions/dw-novel-language/__tests__/completion.test.ts
【测试用例清单】
1. test_character_completion：角色名补全
2. test_location_completion：地点名补全
3. test_command_completion：/命令补全
【运行命令】npx vitest run extensions/dw-novel-language/__tests__/completion.test.ts</t>
        </is>
      </c>
      <c r="M127" s="7" t="inlineStr">
        <is>
          <t>3个写作补全测试用例通过</t>
        </is>
      </c>
      <c r="N127" s="7" t="inlineStr"/>
    </row>
    <row r="128" ht="200" customHeight="1">
      <c r="A128" s="2" t="inlineStr">
        <is>
          <t>MVP-LNG-005</t>
        </is>
      </c>
      <c r="B128" s="2" t="inlineStr">
        <is>
          <t>写作补全 - 实现</t>
        </is>
      </c>
      <c r="C128" s="8" t="inlineStr">
        <is>
          <t>Green实现</t>
        </is>
      </c>
      <c r="D128" s="2" t="inlineStr">
        <is>
          <t>小说语言</t>
        </is>
      </c>
      <c r="E128" s="10" t="inlineStr">
        <is>
          <t>P1</t>
        </is>
      </c>
      <c r="F128" s="5" t="inlineStr">
        <is>
          <t>前端</t>
        </is>
      </c>
      <c r="G128" s="5" t="n">
        <v>1</v>
      </c>
      <c r="H128" s="5" t="inlineStr">
        <is>
          <t>2026-W22</t>
        </is>
      </c>
      <c r="I128" s="5" t="inlineStr">
        <is>
          <t>2026-W22</t>
        </is>
      </c>
      <c r="J128" s="2" t="inlineStr">
        <is>
          <t>MVP-LNG-004</t>
        </is>
      </c>
      <c r="K128" s="6" t="inlineStr">
        <is>
          <t>未开始</t>
        </is>
      </c>
      <c r="L128" s="2" t="inlineStr">
        <is>
          <t>【目标】实现写作补全Provider
【源文件路径】extensions/dw-novel-language/src/NovelCompletionProvider.ts
【实现步骤】
1. CompletionItemProvider注册
2. 触发字符：中文输入或/
3. 从知识库获取角色名/地点名
4. /续写 /扩写 /改写 /对话 /描写 /推演 命令补全
5. 每个补全项有文档说明
【运行命令】npx vitest run extensions/dw-novel-language/__tests__/completion.test.ts</t>
        </is>
      </c>
      <c r="M128" s="2" t="inlineStr">
        <is>
          <t>写作补全实现完成</t>
        </is>
      </c>
      <c r="N128" s="2" t="inlineStr"/>
    </row>
    <row r="129" ht="200" customHeight="1">
      <c r="A129" s="7" t="inlineStr">
        <is>
          <t>MVP-LNG-006</t>
        </is>
      </c>
      <c r="B129" s="7" t="inlineStr">
        <is>
          <t>写作补全 - 验收</t>
        </is>
      </c>
      <c r="C129" s="12" t="inlineStr">
        <is>
          <t>Acceptance验收</t>
        </is>
      </c>
      <c r="D129" s="7" t="inlineStr">
        <is>
          <t>小说语言</t>
        </is>
      </c>
      <c r="E129" s="10" t="inlineStr">
        <is>
          <t>P1</t>
        </is>
      </c>
      <c r="F129" s="9" t="inlineStr">
        <is>
          <t>前端</t>
        </is>
      </c>
      <c r="G129" s="9" t="n">
        <v>1</v>
      </c>
      <c r="H129" s="9" t="inlineStr">
        <is>
          <t>2026-W22</t>
        </is>
      </c>
      <c r="I129" s="9" t="inlineStr">
        <is>
          <t>2026-W22</t>
        </is>
      </c>
      <c r="J129" s="7" t="inlineStr">
        <is>
          <t>MVP-LNG-005</t>
        </is>
      </c>
      <c r="K129" s="6" t="inlineStr">
        <is>
          <t>未开始</t>
        </is>
      </c>
      <c r="L129" s="7" t="inlineStr">
        <is>
          <t>【目标】写作补全验收
【测试场景】
1. 输入角色名前缀弹出补全
2. /命令弹出补全
3. 补全内容正确
【验收检查项】
□ 角色名补全
□ 地点名补全
□ /命令补全
【运行命令】F5启动Extension Development Host</t>
        </is>
      </c>
      <c r="M129" s="7" t="inlineStr">
        <is>
          <t>写作补全验收通过</t>
        </is>
      </c>
      <c r="N129" s="7" t="inlineStr"/>
    </row>
    <row r="130" ht="200" customHeight="1">
      <c r="A130" s="2" t="inlineStr">
        <is>
          <t>MVP-EXP-001</t>
        </is>
      </c>
      <c r="B130" s="2" t="inlineStr">
        <is>
          <t>TXT/DOCX导出 - 测试</t>
        </is>
      </c>
      <c r="C130" s="4" t="inlineStr">
        <is>
          <t>Red测试</t>
        </is>
      </c>
      <c r="D130" s="2" t="inlineStr">
        <is>
          <t>导出</t>
        </is>
      </c>
      <c r="E130" s="10" t="inlineStr">
        <is>
          <t>P1</t>
        </is>
      </c>
      <c r="F130" s="5" t="inlineStr">
        <is>
          <t>前端</t>
        </is>
      </c>
      <c r="G130" s="5" t="n">
        <v>1</v>
      </c>
      <c r="H130" s="5" t="inlineStr">
        <is>
          <t>2026-W24</t>
        </is>
      </c>
      <c r="I130" s="5" t="inlineStr">
        <is>
          <t>2026-W24</t>
        </is>
      </c>
      <c r="J130" s="2" t="inlineStr">
        <is>
          <t>MVP-API-005</t>
        </is>
      </c>
      <c r="K130" s="6" t="inlineStr">
        <is>
          <t>未开始</t>
        </is>
      </c>
      <c r="L130" s="2" t="inlineStr">
        <is>
          <t>【目标】编写导出功能测试
【测试框架】Vitest
【测试文件路径】extensions/dw-export/__tests__/export.test.ts
【测试用例清单】
1. test_export_txt：TXT导出 → 纯文本+章节标题
2. test_export_docx：DOCX导出 → Word文档可打开
3. test_export_with_metadata：包含元数据（标题/作者/字数）
4. test_export_range：选择导出范围（全书/当前卷/当前章节）
【运行命令】npx vitest run extensions/dw-export/__tests__/export.test.ts</t>
        </is>
      </c>
      <c r="M130" s="2" t="inlineStr">
        <is>
          <t>4个导出测试用例通过</t>
        </is>
      </c>
      <c r="N130" s="2" t="inlineStr"/>
    </row>
    <row r="131" ht="200" customHeight="1">
      <c r="A131" s="7" t="inlineStr">
        <is>
          <t>MVP-EXP-002</t>
        </is>
      </c>
      <c r="B131" s="7" t="inlineStr">
        <is>
          <t>TXT/DOCX导出 - 实现</t>
        </is>
      </c>
      <c r="C131" s="8" t="inlineStr">
        <is>
          <t>Green实现</t>
        </is>
      </c>
      <c r="D131" s="7" t="inlineStr">
        <is>
          <t>导出</t>
        </is>
      </c>
      <c r="E131" s="10" t="inlineStr">
        <is>
          <t>P1</t>
        </is>
      </c>
      <c r="F131" s="9" t="inlineStr">
        <is>
          <t>前端</t>
        </is>
      </c>
      <c r="G131" s="9" t="n">
        <v>2</v>
      </c>
      <c r="H131" s="9" t="inlineStr">
        <is>
          <t>2026-W24</t>
        </is>
      </c>
      <c r="I131" s="9" t="inlineStr">
        <is>
          <t>2026-W24</t>
        </is>
      </c>
      <c r="J131" s="7" t="inlineStr">
        <is>
          <t>MVP-EXP-001</t>
        </is>
      </c>
      <c r="K131" s="6" t="inlineStr">
        <is>
          <t>未开始</t>
        </is>
      </c>
      <c r="L131" s="7" t="inlineStr">
        <is>
          <t>【目标】实现TXT和DOCX导出功能
【源文件路径】extensions/dw-export/src/exporters/
【实现步骤】
1. txtExporter.ts：
   - 纯文本格式
   - 章节标题分隔
   - 元数据头部（标题/作者/字数/生成时间）
2. docxExporter.ts：
   - 使用docx库生成Word文档
   - 标题样式、正文样式
   - 页眉页脚
   - 元数据属性
3. 导出范围选择：
   - 全书导出
   - 当前卷导出
   - 当前章节导出
4. 导出进度显示
【运行命令】npx vitest run extensions/dw-export/__tests__/export.test.ts</t>
        </is>
      </c>
      <c r="M131" s="7" t="inlineStr">
        <is>
          <t>导出功能实现完成</t>
        </is>
      </c>
      <c r="N131" s="7" t="inlineStr"/>
    </row>
    <row r="132" ht="200" customHeight="1">
      <c r="A132" s="2" t="inlineStr">
        <is>
          <t>MVP-EXP-003</t>
        </is>
      </c>
      <c r="B132" s="2" t="inlineStr">
        <is>
          <t>TXT/DOCX导出 - 验收</t>
        </is>
      </c>
      <c r="C132" s="12" t="inlineStr">
        <is>
          <t>Acceptance验收</t>
        </is>
      </c>
      <c r="D132" s="2" t="inlineStr">
        <is>
          <t>导出</t>
        </is>
      </c>
      <c r="E132" s="10" t="inlineStr">
        <is>
          <t>P1</t>
        </is>
      </c>
      <c r="F132" s="5" t="inlineStr">
        <is>
          <t>前端</t>
        </is>
      </c>
      <c r="G132" s="5" t="n">
        <v>1</v>
      </c>
      <c r="H132" s="5" t="inlineStr">
        <is>
          <t>2026-W24</t>
        </is>
      </c>
      <c r="I132" s="5" t="inlineStr">
        <is>
          <t>2026-W24</t>
        </is>
      </c>
      <c r="J132" s="2" t="inlineStr">
        <is>
          <t>MVP-EXP-002</t>
        </is>
      </c>
      <c r="K132" s="6" t="inlineStr">
        <is>
          <t>未开始</t>
        </is>
      </c>
      <c r="L132" s="2" t="inlineStr">
        <is>
          <t>【目标】导出功能验收
【测试场景】
1. TXT导出 → 格式正确
2. DOCX导出 → 可打开
3. 元数据包含标题/作者/字数
4. 导出范围选择正确
【验收检查项】
□ TXT格式正确
□ DOCX可打开
□ 元数据完整
□ 范围选择正确
【运行命令】F5启动Extension Development Host</t>
        </is>
      </c>
      <c r="M132" s="2" t="inlineStr">
        <is>
          <t>导出功能验收通过</t>
        </is>
      </c>
      <c r="N132" s="2" t="inlineStr"/>
    </row>
    <row r="133" ht="200" customHeight="1">
      <c r="A133" s="7" t="inlineStr">
        <is>
          <t>MVP-INT-001</t>
        </is>
      </c>
      <c r="B133" s="7" t="inlineStr">
        <is>
          <t>全链路集成测试1</t>
        </is>
      </c>
      <c r="C133" s="12" t="inlineStr">
        <is>
          <t>Acceptance验收</t>
        </is>
      </c>
      <c r="D133" s="7" t="inlineStr">
        <is>
          <t>集成测试</t>
        </is>
      </c>
      <c r="E133" s="4" t="inlineStr">
        <is>
          <t>P0</t>
        </is>
      </c>
      <c r="F133" s="9" t="inlineStr">
        <is>
          <t>全栈</t>
        </is>
      </c>
      <c r="G133" s="9" t="n">
        <v>2</v>
      </c>
      <c r="H133" s="9" t="inlineStr">
        <is>
          <t>2026-W25</t>
        </is>
      </c>
      <c r="I133" s="9" t="inlineStr">
        <is>
          <t>2026-W25</t>
        </is>
      </c>
      <c r="J133" s="7" t="inlineStr">
        <is>
          <t>MVP-EXP-003,MVP-CON-009</t>
        </is>
      </c>
      <c r="K133" s="6" t="inlineStr">
        <is>
          <t>未开始</t>
        </is>
      </c>
      <c r="L133" s="7" t="inlineStr">
        <is>
          <t>【目标】端到端全链路集成测试：注册→创建作品→写章节→AI续写→知识库提取→一致性检查
【测试范围】完整用户创作流程
【测试场景】
1. 注册新用户 → POST /api/v1/auth/register → 201 + Token
2. 创建作品"测试小说" → POST /api/v1/works → 201
3. 创建第一章并写入500字 → POST /api/v1/works/{id}/chapters → 201
4. 调用AI续写 → POST /api/v1/ai/generate → 200 + 续写内容
5. 保存续写内容 → PUT /api/v1/chapters/{id} → 200
6. 触发AI实体提取 → POST /api/v1/works/{id}/bible/extract → 200
7. 验证知识库有新条目 → GET /api/v1/works/{id}/bible → 200 + 条目列表
8. 触发一致性检查 → POST /api/v1/works/{id}/bible/conflicts → 200
9. 验证检查结果 → 返回警告列表（可能为空）
【测试工具】httpx + pytest
【验收检查项】
□ 全流程无错误
□ 每步返回正确状态码
□ 数据一致性正确
□ AI生成内容合理
□ 知识库提取正确
【运行命令】pytest tests/integration/test_full_flow_1.py -v</t>
        </is>
      </c>
      <c r="M133" s="7" t="inlineStr">
        <is>
          <t>全链路测试1通过，完整创作流程无错误</t>
        </is>
      </c>
      <c r="N133" s="7" t="inlineStr"/>
    </row>
    <row r="134" ht="200" customHeight="1">
      <c r="A134" s="2" t="inlineStr">
        <is>
          <t>MVP-INT-002</t>
        </is>
      </c>
      <c r="B134" s="2" t="inlineStr">
        <is>
          <t>全链路集成测试2</t>
        </is>
      </c>
      <c r="C134" s="12" t="inlineStr">
        <is>
          <t>Acceptance验收</t>
        </is>
      </c>
      <c r="D134" s="2" t="inlineStr">
        <is>
          <t>集成测试</t>
        </is>
      </c>
      <c r="E134" s="4" t="inlineStr">
        <is>
          <t>P0</t>
        </is>
      </c>
      <c r="F134" s="5" t="inlineStr">
        <is>
          <t>全栈</t>
        </is>
      </c>
      <c r="G134" s="5" t="n">
        <v>2</v>
      </c>
      <c r="H134" s="5" t="inlineStr">
        <is>
          <t>2026-W25</t>
        </is>
      </c>
      <c r="I134" s="5" t="inlineStr">
        <is>
          <t>2026-W25</t>
        </is>
      </c>
      <c r="J134" s="2" t="inlineStr">
        <is>
          <t>MVP-BRN-009</t>
        </is>
      </c>
      <c r="K134" s="6" t="inlineStr">
        <is>
          <t>未开始</t>
        </is>
      </c>
      <c r="L134" s="2" t="inlineStr">
        <is>
          <t>【目标】端到端全链路集成测试：创建分支→分支写作→切换分支→分支对比
【测试场景】
1. 在第三章创建分支A → POST /api/v1/works/{id}/branches → 201
2. 在分支A写入不同内容 → PUT /api/v1/chapters/{id} → 200
3. 切换回主线 → POST /api/v1/branches/{id}/switch → 200
4. 验证主线内容不变 → GET /api/v1/chapters/{id} → 内容正确
5. 切换到分支A → POST /api/v1/branches/{id}/switch → 200
6. 验证分支A内容 → GET /api/v1/chapters/{id} → 分支A内容
7. 查看分支树 → GET /api/v1/works/{id}/branches/tree → 树结构正确
【验收检查项】
□ 分支创建正确
□ 分支内容隔离
□ 切换正确
□ 树结构正确
【运行命令】pytest tests/integration/test_full_flow_2.py -v</t>
        </is>
      </c>
      <c r="M134" s="2" t="inlineStr">
        <is>
          <t>全链路测试2通过，分支管理流程无错误</t>
        </is>
      </c>
      <c r="N134" s="2" t="inlineStr"/>
    </row>
    <row r="135" ht="200" customHeight="1">
      <c r="A135" s="7" t="inlineStr">
        <is>
          <t>MVP-INT-003</t>
        </is>
      </c>
      <c r="B135" s="7" t="inlineStr">
        <is>
          <t>性能测试</t>
        </is>
      </c>
      <c r="C135" s="12" t="inlineStr">
        <is>
          <t>Acceptance验收</t>
        </is>
      </c>
      <c r="D135" s="7" t="inlineStr">
        <is>
          <t>集成测试</t>
        </is>
      </c>
      <c r="E135" s="4" t="inlineStr">
        <is>
          <t>P0</t>
        </is>
      </c>
      <c r="F135" s="9" t="inlineStr">
        <is>
          <t>全栈</t>
        </is>
      </c>
      <c r="G135" s="9" t="n">
        <v>2</v>
      </c>
      <c r="H135" s="9" t="inlineStr">
        <is>
          <t>2026-W25</t>
        </is>
      </c>
      <c r="I135" s="9" t="inlineStr">
        <is>
          <t>2026-W25</t>
        </is>
      </c>
      <c r="J135" s="7" t="inlineStr">
        <is>
          <t>MVP-INT-001</t>
        </is>
      </c>
      <c r="K135" s="6" t="inlineStr">
        <is>
          <t>未开始</t>
        </is>
      </c>
      <c r="L135" s="7" t="inlineStr">
        <is>
          <t>【目标】全系统性能测试
【测试范围】所有关键性能指标
【测试场景】
1. AI首Token延迟 ≤ 2秒
   - 使用time测量POST /api/v1/ai/stream首chunk时间
2. API响应 ≤ 200ms（P95）
   - 使用locust或wrk压测所有API端点
3. 向量检索 ≤ 150ms
   - 测试Milvus检索延迟
4. 10万字文件编辑流畅度 ≥ 30fps
   - 在VS Code中打开10万字文件，测量编辑时帧率
5. 并发100用户无错误
   - 使用locust模拟100并发用户
【测试工具】locust, wrk, time, Chrome DevTools
【验收检查项】
□ AI首Token ≤ 2s
□ API P95 ≤ 200ms
□ 向量检索 ≤ 150ms
□ 大文件编辑 ≥ 30fps
□ 100并发无错误
【运行命令】locust -f tests/performance/locustfile.py --host=http://localhost:8000</t>
        </is>
      </c>
      <c r="M135" s="7" t="inlineStr">
        <is>
          <t>所有性能指标达标</t>
        </is>
      </c>
      <c r="N135" s="7" t="inlineStr"/>
    </row>
    <row r="136" ht="200" customHeight="1">
      <c r="A136" s="2" t="inlineStr">
        <is>
          <t>MVP-INT-004</t>
        </is>
      </c>
      <c r="B136" s="2" t="inlineStr">
        <is>
          <t>安全测试</t>
        </is>
      </c>
      <c r="C136" s="12" t="inlineStr">
        <is>
          <t>Acceptance验收</t>
        </is>
      </c>
      <c r="D136" s="2" t="inlineStr">
        <is>
          <t>集成测试</t>
        </is>
      </c>
      <c r="E136" s="4" t="inlineStr">
        <is>
          <t>P0</t>
        </is>
      </c>
      <c r="F136" s="5" t="inlineStr">
        <is>
          <t>全栈</t>
        </is>
      </c>
      <c r="G136" s="5" t="n">
        <v>2</v>
      </c>
      <c r="H136" s="5" t="inlineStr">
        <is>
          <t>2026-W25</t>
        </is>
      </c>
      <c r="I136" s="5" t="inlineStr">
        <is>
          <t>2026-W25</t>
        </is>
      </c>
      <c r="J136" s="2" t="inlineStr">
        <is>
          <t>MVP-INT-001</t>
        </is>
      </c>
      <c r="K136" s="6" t="inlineStr">
        <is>
          <t>未开始</t>
        </is>
      </c>
      <c r="L136" s="2" t="inlineStr">
        <is>
          <t>【目标】全系统安全测试
【测试范围】认证、注入、XSS、CSRF、数据安全
【测试场景】
1. JWT认证有效性 → 无效Token返回401
2. SQL注入测试 → 所有API端点
3. XSS测试 → 用户输入字段
4. CSRF测试 → 状态修改API
5. API Key加密存储验证 → 数据库中API Key为密文
6. 敏感数据不泄露 → 错误信息不含堆栈/密钥
【测试工具】OWASP ZAP, 手动测试
【验收检查项】
□ JWT认证有效
□ 无SQL注入
□ 无XSS
□ 无CSRF
□ API Key加密存储
□ 无敏感数据泄露
【运行命令】zap-cli quick-scan http://localhost:8000</t>
        </is>
      </c>
      <c r="M136" s="2" t="inlineStr">
        <is>
          <t>所有安全测试通过，无高危漏洞</t>
        </is>
      </c>
      <c r="N136" s="2" t="inlineStr"/>
    </row>
    <row r="137" ht="200" customHeight="1">
      <c r="A137" s="7" t="inlineStr">
        <is>
          <t>MVP-INT-005</t>
        </is>
      </c>
      <c r="B137" s="7" t="inlineStr">
        <is>
          <t>客户端打包</t>
        </is>
      </c>
      <c r="C137" s="12" t="inlineStr">
        <is>
          <t>Acceptance验收</t>
        </is>
      </c>
      <c r="D137" s="7" t="inlineStr">
        <is>
          <t>集成测试</t>
        </is>
      </c>
      <c r="E137" s="4" t="inlineStr">
        <is>
          <t>P0</t>
        </is>
      </c>
      <c r="F137" s="9" t="inlineStr">
        <is>
          <t>全栈</t>
        </is>
      </c>
      <c r="G137" s="9" t="n">
        <v>2</v>
      </c>
      <c r="H137" s="9" t="inlineStr">
        <is>
          <t>2026-W25</t>
        </is>
      </c>
      <c r="I137" s="9" t="inlineStr">
        <is>
          <t>2026-W25</t>
        </is>
      </c>
      <c r="J137" s="7" t="inlineStr">
        <is>
          <t>MVP-INT-003</t>
        </is>
      </c>
      <c r="K137" s="6" t="inlineStr">
        <is>
          <t>未开始</t>
        </is>
      </c>
      <c r="L137" s="7" t="inlineStr">
        <is>
          <t>【目标】客户端打包和自动更新配置
【技术选型】electron-builder
【实现步骤】
1. 配置electron-builder：
   - package.json添加build配置
   - macOS: target=dmg, 签名+公证
   - Windows: target=nsis, 代码签名
   - Linux: target=AppImage
2. 配置自动更新：
   - electron-updater
   - 配置update server URL
   - 版本号管理
3. 打包验证：
   - macOS .dmg可安装
   - Windows .exe可安装
   - 应用启动正常
【验收检查项】
□ macOS dmg打包成功
□ Windows exe打包成功
□ 自动更新配置正确
□ 安装后应用正常
【运行命令】yarn build:all</t>
        </is>
      </c>
      <c r="M137" s="7" t="inlineStr">
        <is>
          <t>客户端打包成功，各平台安装包可用</t>
        </is>
      </c>
      <c r="N137" s="7" t="inlineStr"/>
    </row>
    <row r="138" ht="200" customHeight="1">
      <c r="A138" s="2" t="inlineStr">
        <is>
          <t>MVP-INT-006</t>
        </is>
      </c>
      <c r="B138" s="2" t="inlineStr">
        <is>
          <t>部署</t>
        </is>
      </c>
      <c r="C138" s="12" t="inlineStr">
        <is>
          <t>Acceptance验收</t>
        </is>
      </c>
      <c r="D138" s="2" t="inlineStr">
        <is>
          <t>集成测试</t>
        </is>
      </c>
      <c r="E138" s="4" t="inlineStr">
        <is>
          <t>P0</t>
        </is>
      </c>
      <c r="F138" s="5" t="inlineStr">
        <is>
          <t>全栈</t>
        </is>
      </c>
      <c r="G138" s="5" t="n">
        <v>2</v>
      </c>
      <c r="H138" s="5" t="inlineStr">
        <is>
          <t>2026-W25</t>
        </is>
      </c>
      <c r="I138" s="5" t="inlineStr">
        <is>
          <t>2026-W25</t>
        </is>
      </c>
      <c r="J138" s="2" t="inlineStr">
        <is>
          <t>MVP-INT-004,MVP-SRV-010</t>
        </is>
      </c>
      <c r="K138" s="6" t="inlineStr">
        <is>
          <t>未开始</t>
        </is>
      </c>
      <c r="L138" s="2" t="inlineStr">
        <is>
          <t>【目标】生产环境部署
【实现步骤】
1. K8s apply全部manifest
2. 配置Ingress域名（api.dreamweaver-pen.com）
3. 配置TLS证书（Let's Encrypt）
4. 配置Prometheus监控
5. 配置Grafana面板（API延迟/错误率/资源使用）
6. 配置ELK日志（Elasticsearch+Logstash+Kibana）
7. 验证所有服务健康
【验收检查项】
□ 所有Pod Running
□ Ingress可访问
□ TLS证书有效
□ Prometheus数据采集
□ Grafana面板可用
□ ELK日志可查
□ 所有API健康检查通过
【运行命令】kubectl get pods -n dreamweaver &amp;&amp; kubectl apply -f k8s/</t>
        </is>
      </c>
      <c r="M138" s="2" t="inlineStr">
        <is>
          <t>生产环境部署成功，所有服务健康</t>
        </is>
      </c>
      <c r="N138" s="2" t="inlineStr"/>
    </row>
  </sheetData>
  <autoFilter ref="A1:N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V15-COL-001</t>
        </is>
      </c>
      <c r="B2" s="2" t="inlineStr">
        <is>
          <t>投票模式 - 测试</t>
        </is>
      </c>
      <c r="C2" s="4" t="inlineStr">
        <is>
          <t>Red测试</t>
        </is>
      </c>
      <c r="D2" s="2" t="inlineStr">
        <is>
          <t>多模型协作</t>
        </is>
      </c>
      <c r="E2" s="10" t="inlineStr">
        <is>
          <t>P1</t>
        </is>
      </c>
      <c r="F2" s="5" t="inlineStr">
        <is>
          <t>AI工程师</t>
        </is>
      </c>
      <c r="G2" s="5" t="n">
        <v>1</v>
      </c>
      <c r="H2" s="5" t="inlineStr">
        <is>
          <t>2026-W26</t>
        </is>
      </c>
      <c r="I2" s="5" t="inlineStr">
        <is>
          <t>2026-W26</t>
        </is>
      </c>
      <c r="J2" s="2" t="inlineStr"/>
      <c r="K2" s="6" t="inlineStr">
        <is>
          <t>未开始</t>
        </is>
      </c>
      <c r="L2" s="2" t="inlineStr">
        <is>
          <t>【目标】编写多模型投票模式测试
【测试框架】pytest + pytest-asyncio
【测试文件路径】ai-service/tests/services/collaboration/test_voting.py
【测试用例清单】
1. test_voting_single_task：同一任务发给3个模型 → 返回3个结果
2. test_voting_user_select：用户选择最佳结果 → 记录选择
3. test_voting_statistics：投票统计 → 返回各模型得票数
4. test_voting_timeout：某个模型超时 → 跳过该模型
5. test_voting_all_fail：所有模型失败 → 返回错误
【Mock依赖】Mock多个ModelAdapter
【运行命令】pytest ai-service/tests/services/collaboration/test_voting.py -v</t>
        </is>
      </c>
      <c r="M2" s="2" t="inlineStr">
        <is>
          <t>5个投票模式测试用例通过</t>
        </is>
      </c>
      <c r="N2" s="2" t="inlineStr"/>
    </row>
    <row r="3" ht="200" customHeight="1">
      <c r="A3" s="7" t="inlineStr">
        <is>
          <t>V15-COL-002</t>
        </is>
      </c>
      <c r="B3" s="7" t="inlineStr">
        <is>
          <t>投票模式 - 实现</t>
        </is>
      </c>
      <c r="C3" s="8" t="inlineStr">
        <is>
          <t>Green实现</t>
        </is>
      </c>
      <c r="D3" s="7" t="inlineStr">
        <is>
          <t>多模型协作</t>
        </is>
      </c>
      <c r="E3" s="10" t="inlineStr">
        <is>
          <t>P1</t>
        </is>
      </c>
      <c r="F3" s="9" t="inlineStr">
        <is>
          <t>AI工程师</t>
        </is>
      </c>
      <c r="G3" s="9" t="n">
        <v>2</v>
      </c>
      <c r="H3" s="9" t="inlineStr">
        <is>
          <t>2026-W26</t>
        </is>
      </c>
      <c r="I3" s="9" t="inlineStr">
        <is>
          <t>2026-W26</t>
        </is>
      </c>
      <c r="J3" s="7" t="inlineStr">
        <is>
          <t>V15-COL-001</t>
        </is>
      </c>
      <c r="K3" s="6" t="inlineStr">
        <is>
          <t>未开始</t>
        </is>
      </c>
      <c r="L3" s="7" t="inlineStr">
        <is>
          <t>【目标】实现多模型投票模式
【源文件路径】ai-service/app/services/collaboration/voting_mode.py
【实现步骤】
1. 创建VotingMode类
2. 实现execute(task, models, options)：
   - 并发调用N个模型（asyncio.gather）
   - 每个模型生成结果
   - 收集所有结果
   - 返回VotingResult(results, statistics)
3. 用户选择API：
   - POST /api/v1/ai/vote → 记录用户选择
4. 投票统计：
   - GET /api/v1/ai/vote/stats → 各模型得票率
5. 超时处理：单个模型超时30秒则跳过
【运行命令】pytest ai-service/tests/services/collaboration/test_voting.py -v</t>
        </is>
      </c>
      <c r="M3" s="7" t="inlineStr">
        <is>
          <t>投票模式实现完成，多模型并发和投票统计正常</t>
        </is>
      </c>
      <c r="N3" s="7" t="inlineStr"/>
    </row>
    <row r="4" ht="200" customHeight="1">
      <c r="A4" s="2" t="inlineStr">
        <is>
          <t>V15-COL-003</t>
        </is>
      </c>
      <c r="B4" s="2" t="inlineStr">
        <is>
          <t>投票模式 - 验收</t>
        </is>
      </c>
      <c r="C4" s="12" t="inlineStr">
        <is>
          <t>Acceptance验收</t>
        </is>
      </c>
      <c r="D4" s="2" t="inlineStr">
        <is>
          <t>多模型协作</t>
        </is>
      </c>
      <c r="E4" s="10" t="inlineStr">
        <is>
          <t>P1</t>
        </is>
      </c>
      <c r="F4" s="5" t="inlineStr">
        <is>
          <t>AI工程师</t>
        </is>
      </c>
      <c r="G4" s="5" t="n">
        <v>1</v>
      </c>
      <c r="H4" s="5" t="inlineStr">
        <is>
          <t>2026-W26</t>
        </is>
      </c>
      <c r="I4" s="5" t="inlineStr">
        <is>
          <t>2026-W26</t>
        </is>
      </c>
      <c r="J4" s="2" t="inlineStr">
        <is>
          <t>V15-COL-002</t>
        </is>
      </c>
      <c r="K4" s="6" t="inlineStr">
        <is>
          <t>未开始</t>
        </is>
      </c>
      <c r="L4" s="2" t="inlineStr">
        <is>
          <t>【目标】投票模式端到端验收
【测试场景】
1. 同一任务发给3个模型 → 3个结果展示
2. 用户选择最佳 → 记录成功
3. 投票统计 → 数据正确
【验收检查项】
□ 多模型并发正常
□ 结果展示正确
□ 投票记录正确
□ 超时处理正常
【运行命令】pytest ai-service/tests/services/collaboration/test_voting.py -v</t>
        </is>
      </c>
      <c r="M4" s="2" t="inlineStr">
        <is>
          <t>投票模式验收通过</t>
        </is>
      </c>
      <c r="N4" s="2" t="inlineStr"/>
    </row>
    <row r="5" ht="200" customHeight="1">
      <c r="A5" s="7" t="inlineStr">
        <is>
          <t>V15-COL-004</t>
        </is>
      </c>
      <c r="B5" s="7" t="inlineStr">
        <is>
          <t>接力模式 - 测试</t>
        </is>
      </c>
      <c r="C5" s="4" t="inlineStr">
        <is>
          <t>Red测试</t>
        </is>
      </c>
      <c r="D5" s="7" t="inlineStr">
        <is>
          <t>多模型协作</t>
        </is>
      </c>
      <c r="E5" s="10" t="inlineStr">
        <is>
          <t>P1</t>
        </is>
      </c>
      <c r="F5" s="9" t="inlineStr">
        <is>
          <t>AI工程师</t>
        </is>
      </c>
      <c r="G5" s="9" t="n">
        <v>1</v>
      </c>
      <c r="H5" s="9" t="inlineStr">
        <is>
          <t>2026-W26</t>
        </is>
      </c>
      <c r="I5" s="9" t="inlineStr">
        <is>
          <t>2026-W26</t>
        </is>
      </c>
      <c r="J5" s="7" t="inlineStr"/>
      <c r="K5" s="6" t="inlineStr">
        <is>
          <t>未开始</t>
        </is>
      </c>
      <c r="L5" s="7" t="inlineStr">
        <is>
          <t>【目标】编写接力模式测试
【测试文件路径】ai-service/tests/services/collaboration/test_relay.py
【测试用例清单】
1. test_relay_two_steps：模型A→模型B → 结果传递正确
2. test_relay_multi_steps：多步骤链 → 每步结果缓存
3. test_relay_step_failure：某步失败 → 返回已完成的步骤结果
4. test_relay_custom_chain：自定义步骤链 → 按配置执行
【运行命令】pytest ai-service/tests/services/collaboration/test_relay.py -v</t>
        </is>
      </c>
      <c r="M5" s="7" t="inlineStr">
        <is>
          <t>4个接力模式测试用例通过</t>
        </is>
      </c>
      <c r="N5" s="7" t="inlineStr"/>
    </row>
    <row r="6" ht="200" customHeight="1">
      <c r="A6" s="2" t="inlineStr">
        <is>
          <t>V15-COL-005</t>
        </is>
      </c>
      <c r="B6" s="2" t="inlineStr">
        <is>
          <t>接力模式 - 实现</t>
        </is>
      </c>
      <c r="C6" s="8" t="inlineStr">
        <is>
          <t>Green实现</t>
        </is>
      </c>
      <c r="D6" s="2" t="inlineStr">
        <is>
          <t>多模型协作</t>
        </is>
      </c>
      <c r="E6" s="10" t="inlineStr">
        <is>
          <t>P1</t>
        </is>
      </c>
      <c r="F6" s="5" t="inlineStr">
        <is>
          <t>AI工程师</t>
        </is>
      </c>
      <c r="G6" s="5" t="n">
        <v>2</v>
      </c>
      <c r="H6" s="5" t="inlineStr">
        <is>
          <t>2026-W26</t>
        </is>
      </c>
      <c r="I6" s="5" t="inlineStr">
        <is>
          <t>2026-W26</t>
        </is>
      </c>
      <c r="J6" s="2" t="inlineStr">
        <is>
          <t>V15-COL-004</t>
        </is>
      </c>
      <c r="K6" s="6" t="inlineStr">
        <is>
          <t>未开始</t>
        </is>
      </c>
      <c r="L6" s="2" t="inlineStr">
        <is>
          <t>【目标】实现多模型接力模式
【源文件路径】ai-service/app/services/collaboration/relay_mode.py
【实现步骤】
1. 创建RelayMode类
2. 实现execute(task, chain)：
   - chain: [{model_id, prompt_template, options}, ...]
   - 按顺序执行每一步
   - 上一步的输出作为下一步的输入
   - 每步结果缓存到Redis
3. 支持任意步骤链（2-5步）
4. 每步可配置不同的prompt模板和参数
5. 失败处理：某步失败返回已完成步骤的结果
【运行命令】pytest ai-service/tests/services/collaboration/test_relay.py -v</t>
        </is>
      </c>
      <c r="M6" s="2" t="inlineStr">
        <is>
          <t>接力模式实现完成，多步骤链正确执行</t>
        </is>
      </c>
      <c r="N6" s="2" t="inlineStr"/>
    </row>
    <row r="7" ht="200" customHeight="1">
      <c r="A7" s="7" t="inlineStr">
        <is>
          <t>V15-COL-006</t>
        </is>
      </c>
      <c r="B7" s="7" t="inlineStr">
        <is>
          <t>接力模式 - 验收</t>
        </is>
      </c>
      <c r="C7" s="12" t="inlineStr">
        <is>
          <t>Acceptance验收</t>
        </is>
      </c>
      <c r="D7" s="7" t="inlineStr">
        <is>
          <t>多模型协作</t>
        </is>
      </c>
      <c r="E7" s="10" t="inlineStr">
        <is>
          <t>P1</t>
        </is>
      </c>
      <c r="F7" s="9" t="inlineStr">
        <is>
          <t>AI工程师</t>
        </is>
      </c>
      <c r="G7" s="9" t="n">
        <v>1</v>
      </c>
      <c r="H7" s="9" t="inlineStr">
        <is>
          <t>2026-W26</t>
        </is>
      </c>
      <c r="I7" s="9" t="inlineStr">
        <is>
          <t>2026-W26</t>
        </is>
      </c>
      <c r="J7" s="7" t="inlineStr">
        <is>
          <t>V15-COL-005</t>
        </is>
      </c>
      <c r="K7" s="6" t="inlineStr">
        <is>
          <t>未开始</t>
        </is>
      </c>
      <c r="L7" s="7" t="inlineStr">
        <is>
          <t>【目标】接力模式端到端验收
【测试场景】
1. 模型A完成→结果传给模型B→模型B继续
2. 多步骤链正确执行
3. 每步结果缓存
【验收检查项】
□ 步骤链执行正确
□ 结果传递正确
□ 缓存生效
□ 失败处理正确
【运行命令】pytest ai-service/tests/services/collaboration/test_relay.py -v</t>
        </is>
      </c>
      <c r="M7" s="7" t="inlineStr">
        <is>
          <t>接力模式验收通过</t>
        </is>
      </c>
      <c r="N7" s="7" t="inlineStr"/>
    </row>
    <row r="8" ht="200" customHeight="1">
      <c r="A8" s="2" t="inlineStr">
        <is>
          <t>V15-COL-007</t>
        </is>
      </c>
      <c r="B8" s="2" t="inlineStr">
        <is>
          <t>辩论模式 - 测试</t>
        </is>
      </c>
      <c r="C8" s="4" t="inlineStr">
        <is>
          <t>Red测试</t>
        </is>
      </c>
      <c r="D8" s="2" t="inlineStr">
        <is>
          <t>多模型协作</t>
        </is>
      </c>
      <c r="E8" s="10" t="inlineStr">
        <is>
          <t>P1</t>
        </is>
      </c>
      <c r="F8" s="5" t="inlineStr">
        <is>
          <t>AI工程师</t>
        </is>
      </c>
      <c r="G8" s="5" t="n">
        <v>1</v>
      </c>
      <c r="H8" s="5" t="inlineStr">
        <is>
          <t>2026-W27</t>
        </is>
      </c>
      <c r="I8" s="5" t="inlineStr">
        <is>
          <t>2026-W27</t>
        </is>
      </c>
      <c r="J8" s="2" t="inlineStr"/>
      <c r="K8" s="6" t="inlineStr">
        <is>
          <t>未开始</t>
        </is>
      </c>
      <c r="L8" s="2" t="inlineStr">
        <is>
          <t>【目标】编写辩论模式测试
【测试文件路径】ai-service/tests/services/collaboration/test_debate.py
【测试用例清单】
1. test_debate_two_models：两个模型提出不同方案 → 返回对比
2. test_debate_display：对比视图展示 → 格式正确
3. test_debate_user_verdict：用户裁决 → 记录选择
4. test_debate_followup：继续追问 → 多轮辩论
【运行命令】pytest ai-service/tests/services/collaboration/test_debate.py -v</t>
        </is>
      </c>
      <c r="M8" s="2" t="inlineStr">
        <is>
          <t>4个辩论模式测试用例通过</t>
        </is>
      </c>
      <c r="N8" s="2" t="inlineStr"/>
    </row>
    <row r="9" ht="200" customHeight="1">
      <c r="A9" s="7" t="inlineStr">
        <is>
          <t>V15-COL-008</t>
        </is>
      </c>
      <c r="B9" s="7" t="inlineStr">
        <is>
          <t>辩论模式 - 实现</t>
        </is>
      </c>
      <c r="C9" s="8" t="inlineStr">
        <is>
          <t>Green实现</t>
        </is>
      </c>
      <c r="D9" s="7" t="inlineStr">
        <is>
          <t>多模型协作</t>
        </is>
      </c>
      <c r="E9" s="10" t="inlineStr">
        <is>
          <t>P1</t>
        </is>
      </c>
      <c r="F9" s="9" t="inlineStr">
        <is>
          <t>AI工程师</t>
        </is>
      </c>
      <c r="G9" s="9" t="n">
        <v>2</v>
      </c>
      <c r="H9" s="9" t="inlineStr">
        <is>
          <t>2026-W27</t>
        </is>
      </c>
      <c r="I9" s="9" t="inlineStr">
        <is>
          <t>2026-W27</t>
        </is>
      </c>
      <c r="J9" s="7" t="inlineStr">
        <is>
          <t>V15-COL-007</t>
        </is>
      </c>
      <c r="K9" s="6" t="inlineStr">
        <is>
          <t>未开始</t>
        </is>
      </c>
      <c r="L9" s="7" t="inlineStr">
        <is>
          <t>【目标】实现多模型辩论模式
【源文件路径】ai-service/app/services/collaboration/debate_mode.py
【实现步骤】
1. 创建DebateMode类
2. 实现execute(task, model_a, model_b, rounds=2)：
   - 模型A提出方案A
   - 模型B提出方案B
   - 模型A针对方案B提出反驳
   - 模型B针对方案A提出反驳
   - 返回DebateResult(proposal_a, proposal_b, rebuttals, summary)
3. 用户裁决API
4. 继续追问：基于用户选择的方向继续深入
【运行命令】pytest ai-service/tests/services/collaboration/test_debate.py -v</t>
        </is>
      </c>
      <c r="M9" s="7" t="inlineStr">
        <is>
          <t>辩论模式实现完成</t>
        </is>
      </c>
      <c r="N9" s="7" t="inlineStr"/>
    </row>
    <row r="10" ht="200" customHeight="1">
      <c r="A10" s="2" t="inlineStr">
        <is>
          <t>V15-COL-009</t>
        </is>
      </c>
      <c r="B10" s="2" t="inlineStr">
        <is>
          <t>辩论模式 - 验收</t>
        </is>
      </c>
      <c r="C10" s="12" t="inlineStr">
        <is>
          <t>Acceptance验收</t>
        </is>
      </c>
      <c r="D10" s="2" t="inlineStr">
        <is>
          <t>多模型协作</t>
        </is>
      </c>
      <c r="E10" s="10" t="inlineStr">
        <is>
          <t>P1</t>
        </is>
      </c>
      <c r="F10" s="5" t="inlineStr">
        <is>
          <t>AI工程师</t>
        </is>
      </c>
      <c r="G10" s="5" t="n">
        <v>1</v>
      </c>
      <c r="H10" s="5" t="inlineStr">
        <is>
          <t>2026-W27</t>
        </is>
      </c>
      <c r="I10" s="5" t="inlineStr">
        <is>
          <t>2026-W27</t>
        </is>
      </c>
      <c r="J10" s="2" t="inlineStr">
        <is>
          <t>V15-COL-008</t>
        </is>
      </c>
      <c r="K10" s="6" t="inlineStr">
        <is>
          <t>未开始</t>
        </is>
      </c>
      <c r="L10" s="2" t="inlineStr">
        <is>
          <t>【目标】辩论模式端到端验收
【测试场景】
1. 两个模型提出不同方案 → 对比视图
2. 用户裁决 → 记录
3. 继续追问 → 多轮辩论
【验收检查项】
□ 辩论流程正确
□ 对比视图清晰
□ 裁决记录正确
□ 追问功能正常
【运行命令】pytest ai-service/tests/services/collaboration/test_debate.py -v</t>
        </is>
      </c>
      <c r="M10" s="2" t="inlineStr">
        <is>
          <t>辩论模式验收通过</t>
        </is>
      </c>
      <c r="N10" s="2" t="inlineStr"/>
    </row>
    <row r="11" ht="200" customHeight="1">
      <c r="A11" s="7" t="inlineStr">
        <is>
          <t>V15-COL-010</t>
        </is>
      </c>
      <c r="B11" s="7" t="inlineStr">
        <is>
          <t>融合模式 - 测试</t>
        </is>
      </c>
      <c r="C11" s="4" t="inlineStr">
        <is>
          <t>Red测试</t>
        </is>
      </c>
      <c r="D11" s="7" t="inlineStr">
        <is>
          <t>多模型协作</t>
        </is>
      </c>
      <c r="E11" s="10" t="inlineStr">
        <is>
          <t>P1</t>
        </is>
      </c>
      <c r="F11" s="9" t="inlineStr">
        <is>
          <t>AI工程师</t>
        </is>
      </c>
      <c r="G11" s="9" t="n">
        <v>1</v>
      </c>
      <c r="H11" s="9" t="inlineStr">
        <is>
          <t>2026-W27</t>
        </is>
      </c>
      <c r="I11" s="9" t="inlineStr">
        <is>
          <t>2026-W27</t>
        </is>
      </c>
      <c r="J11" s="7" t="inlineStr"/>
      <c r="K11" s="6" t="inlineStr">
        <is>
          <t>未开始</t>
        </is>
      </c>
      <c r="L11" s="7" t="inlineStr">
        <is>
          <t>【目标】编写融合模式测试
【测试文件路径】ai-service/tests/services/collaboration/test_fusion.py
【测试用例清单】
1. test_fusion_multi_output：多模型输出 → AI融合
2. test_fusion_preserve_strengths：保留各模型优点
3. test_fusion_dedup：去重
4. test_fusion_style_unify：风格统一
【运行命令】pytest ai-service/tests/services/collaboration/test_fusion.py -v</t>
        </is>
      </c>
      <c r="M11" s="7" t="inlineStr">
        <is>
          <t>4个融合模式测试用例通过</t>
        </is>
      </c>
      <c r="N11" s="7" t="inlineStr"/>
    </row>
    <row r="12" ht="200" customHeight="1">
      <c r="A12" s="2" t="inlineStr">
        <is>
          <t>V15-COL-011</t>
        </is>
      </c>
      <c r="B12" s="2" t="inlineStr">
        <is>
          <t>融合模式 - 实现</t>
        </is>
      </c>
      <c r="C12" s="8" t="inlineStr">
        <is>
          <t>Green实现</t>
        </is>
      </c>
      <c r="D12" s="2" t="inlineStr">
        <is>
          <t>多模型协作</t>
        </is>
      </c>
      <c r="E12" s="10" t="inlineStr">
        <is>
          <t>P1</t>
        </is>
      </c>
      <c r="F12" s="5" t="inlineStr">
        <is>
          <t>AI工程师</t>
        </is>
      </c>
      <c r="G12" s="5" t="n">
        <v>2</v>
      </c>
      <c r="H12" s="5" t="inlineStr">
        <is>
          <t>2026-W27</t>
        </is>
      </c>
      <c r="I12" s="5" t="inlineStr">
        <is>
          <t>2026-W27</t>
        </is>
      </c>
      <c r="J12" s="2" t="inlineStr">
        <is>
          <t>V15-COL-010</t>
        </is>
      </c>
      <c r="K12" s="6" t="inlineStr">
        <is>
          <t>未开始</t>
        </is>
      </c>
      <c r="L12" s="2" t="inlineStr">
        <is>
          <t>【目标】实现多模型融合模式
【源文件路径】ai-service/app/services/collaboration/fusion_mode.py
【实现步骤】
1. 创建FusionMode类
2. 实现execute(task, models)：
   - 并发调用多个模型
   - 收集所有输出
   - 使用AI（Claude/GPT）进行融合：
     - 分析各输出的优点
     - 合并为一个最优结果
     - 去重重复内容
     - 统一写作风格
   - 返回FusionResult(fused_text, source_analysis)
【运行命令】pytest ai-service/tests/services/collaboration/test_fusion.py -v</t>
        </is>
      </c>
      <c r="M12" s="2" t="inlineStr">
        <is>
          <t>融合模式实现完成</t>
        </is>
      </c>
      <c r="N12" s="2" t="inlineStr"/>
    </row>
    <row r="13" ht="200" customHeight="1">
      <c r="A13" s="7" t="inlineStr">
        <is>
          <t>V15-COL-012</t>
        </is>
      </c>
      <c r="B13" s="7" t="inlineStr">
        <is>
          <t>融合模式 - 验收</t>
        </is>
      </c>
      <c r="C13" s="12" t="inlineStr">
        <is>
          <t>Acceptance验收</t>
        </is>
      </c>
      <c r="D13" s="7" t="inlineStr">
        <is>
          <t>多模型协作</t>
        </is>
      </c>
      <c r="E13" s="10" t="inlineStr">
        <is>
          <t>P1</t>
        </is>
      </c>
      <c r="F13" s="9" t="inlineStr">
        <is>
          <t>AI工程师</t>
        </is>
      </c>
      <c r="G13" s="9" t="n">
        <v>1</v>
      </c>
      <c r="H13" s="9" t="inlineStr">
        <is>
          <t>2026-W27</t>
        </is>
      </c>
      <c r="I13" s="9" t="inlineStr">
        <is>
          <t>2026-W27</t>
        </is>
      </c>
      <c r="J13" s="7" t="inlineStr">
        <is>
          <t>V15-COL-011</t>
        </is>
      </c>
      <c r="K13" s="6" t="inlineStr">
        <is>
          <t>未开始</t>
        </is>
      </c>
      <c r="L13" s="7" t="inlineStr">
        <is>
          <t>【目标】融合模式端到端验收
【测试场景】
1. 多模型输出 → AI融合 → 保留优点
2. 去重 → 无重复内容
3. 风格统一 → 风格一致
【验收检查项】
□ 融合结果质量高
□ 保留各模型优点
□ 去重正确
□ 风格统一
【运行命令】pytest ai-service/tests/services/collaboration/test_fusion.py -v</t>
        </is>
      </c>
      <c r="M13" s="7" t="inlineStr">
        <is>
          <t>融合模式验收通过</t>
        </is>
      </c>
      <c r="N13" s="7" t="inlineStr"/>
    </row>
    <row r="14" ht="200" customHeight="1">
      <c r="A14" s="2" t="inlineStr">
        <is>
          <t>V15-COL-013</t>
        </is>
      </c>
      <c r="B14" s="2" t="inlineStr">
        <is>
          <t>评审模式 - 测试</t>
        </is>
      </c>
      <c r="C14" s="4" t="inlineStr">
        <is>
          <t>Red测试</t>
        </is>
      </c>
      <c r="D14" s="2" t="inlineStr">
        <is>
          <t>多模型协作</t>
        </is>
      </c>
      <c r="E14" s="10" t="inlineStr">
        <is>
          <t>P1</t>
        </is>
      </c>
      <c r="F14" s="5" t="inlineStr">
        <is>
          <t>AI工程师</t>
        </is>
      </c>
      <c r="G14" s="5" t="n">
        <v>1</v>
      </c>
      <c r="H14" s="5" t="inlineStr">
        <is>
          <t>2026-W27</t>
        </is>
      </c>
      <c r="I14" s="5" t="inlineStr">
        <is>
          <t>2026-W27</t>
        </is>
      </c>
      <c r="J14" s="2" t="inlineStr"/>
      <c r="K14" s="6" t="inlineStr">
        <is>
          <t>未开始</t>
        </is>
      </c>
      <c r="L14" s="2" t="inlineStr">
        <is>
          <t>【目标】编写评审模式测试
【测试文件路径】ai-service/tests/services/collaboration/test_review.py
【测试用例清单】
1. test_review_creation：模型A创作 → 返回文本
2. test_review_evaluation：模型B/C评审 → 返回评分和建议
3. test_review_report：评审报告 → 格式正确
【运行命令】pytest ai-service/tests/services/collaboration/test_review.py -v</t>
        </is>
      </c>
      <c r="M14" s="2" t="inlineStr">
        <is>
          <t>3个评审模式测试用例通过</t>
        </is>
      </c>
      <c r="N14" s="2" t="inlineStr"/>
    </row>
    <row r="15" ht="200" customHeight="1">
      <c r="A15" s="7" t="inlineStr">
        <is>
          <t>V15-COL-014</t>
        </is>
      </c>
      <c r="B15" s="7" t="inlineStr">
        <is>
          <t>评审模式 - 实现</t>
        </is>
      </c>
      <c r="C15" s="8" t="inlineStr">
        <is>
          <t>Green实现</t>
        </is>
      </c>
      <c r="D15" s="7" t="inlineStr">
        <is>
          <t>多模型协作</t>
        </is>
      </c>
      <c r="E15" s="10" t="inlineStr">
        <is>
          <t>P1</t>
        </is>
      </c>
      <c r="F15" s="9" t="inlineStr">
        <is>
          <t>AI工程师</t>
        </is>
      </c>
      <c r="G15" s="9" t="n">
        <v>2</v>
      </c>
      <c r="H15" s="9" t="inlineStr">
        <is>
          <t>2026-W27</t>
        </is>
      </c>
      <c r="I15" s="9" t="inlineStr">
        <is>
          <t>2026-W27</t>
        </is>
      </c>
      <c r="J15" s="7" t="inlineStr">
        <is>
          <t>V15-COL-013</t>
        </is>
      </c>
      <c r="K15" s="6" t="inlineStr">
        <is>
          <t>未开始</t>
        </is>
      </c>
      <c r="L15" s="7" t="inlineStr">
        <is>
          <t>【目标】实现多模型评审模式
【源文件路径】ai-service/app/services/collaboration/review_mode.py
【实现步骤】
1. 创建ReviewMode类
2. 实现execute(task, creator_model, reviewer_models)：
   - creator_model创作文本
   - reviewer_models分别评审
   - 评审维度：情节合理性/人物一致性/文笔质量/创意性
   - 每维度1-10分
   - 返回ReviewResult(text, reviews, average_score, suggestions)
3. 评审报告生成
【运行命令】pytest ai-service/tests/services/collaboration/test_review.py -v</t>
        </is>
      </c>
      <c r="M15" s="7" t="inlineStr">
        <is>
          <t>评审模式实现完成</t>
        </is>
      </c>
      <c r="N15" s="7" t="inlineStr"/>
    </row>
    <row r="16" ht="200" customHeight="1">
      <c r="A16" s="2" t="inlineStr">
        <is>
          <t>V15-COL-015</t>
        </is>
      </c>
      <c r="B16" s="2" t="inlineStr">
        <is>
          <t>评审模式 - 验收</t>
        </is>
      </c>
      <c r="C16" s="12" t="inlineStr">
        <is>
          <t>Acceptance验收</t>
        </is>
      </c>
      <c r="D16" s="2" t="inlineStr">
        <is>
          <t>多模型协作</t>
        </is>
      </c>
      <c r="E16" s="10" t="inlineStr">
        <is>
          <t>P1</t>
        </is>
      </c>
      <c r="F16" s="5" t="inlineStr">
        <is>
          <t>AI工程师</t>
        </is>
      </c>
      <c r="G16" s="5" t="n">
        <v>1</v>
      </c>
      <c r="H16" s="5" t="inlineStr">
        <is>
          <t>2026-W27</t>
        </is>
      </c>
      <c r="I16" s="5" t="inlineStr">
        <is>
          <t>2026-W27</t>
        </is>
      </c>
      <c r="J16" s="2" t="inlineStr">
        <is>
          <t>V15-COL-014</t>
        </is>
      </c>
      <c r="K16" s="6" t="inlineStr">
        <is>
          <t>未开始</t>
        </is>
      </c>
      <c r="L16" s="2" t="inlineStr">
        <is>
          <t>【目标】评审模式端到端验收
【测试场景】
1. 模型A创作 → 模型B/C评审 → 评分和建议
2. 评审报告展示
【验收检查项】
□ 创作质量合理
□ 评审维度全面
□ 评分合理
□ 建议具体有用
【运行命令】pytest ai-service/tests/services/collaboration/test_review.py -v</t>
        </is>
      </c>
      <c r="M16" s="2" t="inlineStr">
        <is>
          <t>评审模式验收通过</t>
        </is>
      </c>
      <c r="N16" s="2" t="inlineStr"/>
    </row>
    <row r="17" ht="200" customHeight="1">
      <c r="A17" s="7" t="inlineStr">
        <is>
          <t>V15-MRG-001</t>
        </is>
      </c>
      <c r="B17" s="7" t="inlineStr">
        <is>
          <t>段落级Diff - 测试</t>
        </is>
      </c>
      <c r="C17" s="4" t="inlineStr">
        <is>
          <t>Red测试</t>
        </is>
      </c>
      <c r="D17" s="7" t="inlineStr">
        <is>
          <t>分支合并</t>
        </is>
      </c>
      <c r="E17" s="10" t="inlineStr">
        <is>
          <t>P1</t>
        </is>
      </c>
      <c r="F17" s="9" t="inlineStr">
        <is>
          <t>后端</t>
        </is>
      </c>
      <c r="G17" s="9" t="n">
        <v>1</v>
      </c>
      <c r="H17" s="9" t="inlineStr">
        <is>
          <t>2026-W28</t>
        </is>
      </c>
      <c r="I17" s="9" t="inlineStr">
        <is>
          <t>2026-W28</t>
        </is>
      </c>
      <c r="J17" s="7" t="inlineStr">
        <is>
          <t>MVP-BRN-009</t>
        </is>
      </c>
      <c r="K17" s="6" t="inlineStr">
        <is>
          <t>未开始</t>
        </is>
      </c>
      <c r="L17" s="7" t="inlineStr">
        <is>
          <t>【目标】编写段落级Diff算法测试
【测试框架】pytest
【测试文件路径】server/service/branch-service/tests/test_diff.py
【测试用例清单】
1. test_three_way_merge：三方合并算法 → 正确合并
2. test_find_common_ancestor：找到共同祖先 → 正确
3. test_detect_conflicts：标记冲突区域 → 正确
4. test_no_conflict_merge：无冲突合并 → 直接合并
5. test_complex_conflict：复杂冲突 → 正确标记
【运行命令】pytest server/service/branch-service/tests/test_diff.py -v</t>
        </is>
      </c>
      <c r="M17" s="7" t="inlineStr">
        <is>
          <t>5个Diff测试用例通过</t>
        </is>
      </c>
      <c r="N17" s="7" t="inlineStr"/>
    </row>
    <row r="18" ht="200" customHeight="1">
      <c r="A18" s="2" t="inlineStr">
        <is>
          <t>V15-MRG-002</t>
        </is>
      </c>
      <c r="B18" s="2" t="inlineStr">
        <is>
          <t>段落级Diff - 实现</t>
        </is>
      </c>
      <c r="C18" s="8" t="inlineStr">
        <is>
          <t>Green实现</t>
        </is>
      </c>
      <c r="D18" s="2" t="inlineStr">
        <is>
          <t>分支合并</t>
        </is>
      </c>
      <c r="E18" s="10" t="inlineStr">
        <is>
          <t>P1</t>
        </is>
      </c>
      <c r="F18" s="5" t="inlineStr">
        <is>
          <t>后端</t>
        </is>
      </c>
      <c r="G18" s="5" t="n">
        <v>3</v>
      </c>
      <c r="H18" s="5" t="inlineStr">
        <is>
          <t>2026-W28</t>
        </is>
      </c>
      <c r="I18" s="5" t="inlineStr">
        <is>
          <t>2026-W28</t>
        </is>
      </c>
      <c r="J18" s="2" t="inlineStr">
        <is>
          <t>V15-MRG-001</t>
        </is>
      </c>
      <c r="K18" s="6" t="inlineStr">
        <is>
          <t>未开始</t>
        </is>
      </c>
      <c r="L18" s="2" t="inlineStr">
        <is>
          <t>【目标】实现段落级三方合并算法
【源文件路径】server/service/branch-service/internal/diff/
【实现步骤】
1. 实现三方合并（Three-way Merge）：
   - 输入：base_text, branch_a_text, branch_b_text
   - 按段落切分（双换行符分隔）
   - 使用LCS（最长公共子序列）算法比较差异
   - 找到共同祖先版本
   - 对比分叉点后的差异
   - 标记冲突区域
2. 冲突标记格式：
   &lt;&lt;&lt;&lt;&lt;&lt;&lt; BRANCH_A
   分支A的内容
   =======
   分支B的内容
   &gt;&gt;&gt;&gt;&gt;&gt;&gt; BRANCH_B
3. 自动合并无冲突的部分
【运行命令】pytest server/service/branch-service/tests/test_diff.py -v</t>
        </is>
      </c>
      <c r="M18" s="2" t="inlineStr">
        <is>
          <t>段落级Diff算法实现完成，三方合并正确</t>
        </is>
      </c>
      <c r="N18" s="2" t="inlineStr"/>
    </row>
    <row r="19" ht="200" customHeight="1">
      <c r="A19" s="7" t="inlineStr">
        <is>
          <t>V15-MRG-003</t>
        </is>
      </c>
      <c r="B19" s="7" t="inlineStr">
        <is>
          <t>段落级Diff - 验收</t>
        </is>
      </c>
      <c r="C19" s="12" t="inlineStr">
        <is>
          <t>Acceptance验收</t>
        </is>
      </c>
      <c r="D19" s="7" t="inlineStr">
        <is>
          <t>分支合并</t>
        </is>
      </c>
      <c r="E19" s="10" t="inlineStr">
        <is>
          <t>P1</t>
        </is>
      </c>
      <c r="F19" s="9" t="inlineStr">
        <is>
          <t>后端</t>
        </is>
      </c>
      <c r="G19" s="9" t="n">
        <v>1</v>
      </c>
      <c r="H19" s="9" t="inlineStr">
        <is>
          <t>2026-W28</t>
        </is>
      </c>
      <c r="I19" s="9" t="inlineStr">
        <is>
          <t>2026-W28</t>
        </is>
      </c>
      <c r="J19" s="7" t="inlineStr">
        <is>
          <t>V15-MRG-002</t>
        </is>
      </c>
      <c r="K19" s="6" t="inlineStr">
        <is>
          <t>未开始</t>
        </is>
      </c>
      <c r="L19" s="7" t="inlineStr">
        <is>
          <t>【目标】段落级Diff验收
【测试场景】
1. 无冲突合并 → 直接合并成功
2. 有冲突合并 → 正确标记冲突区域
3. 复杂冲突 → 多处冲突正确标记
【验收检查项】
□ 三方合并正确
□ 冲突标记准确
□ 无冲突部分自动合并
【运行命令】pytest server/service/branch-service/tests/test_diff.py -v</t>
        </is>
      </c>
      <c r="M19" s="7" t="inlineStr">
        <is>
          <t>段落级Diff验收通过</t>
        </is>
      </c>
      <c r="N19" s="7" t="inlineStr"/>
    </row>
    <row r="20" ht="200" customHeight="1">
      <c r="A20" s="2" t="inlineStr">
        <is>
          <t>V15-MRG-004</t>
        </is>
      </c>
      <c r="B20" s="2" t="inlineStr">
        <is>
          <t>AI辅助合并 - 测试</t>
        </is>
      </c>
      <c r="C20" s="4" t="inlineStr">
        <is>
          <t>Red测试</t>
        </is>
      </c>
      <c r="D20" s="2" t="inlineStr">
        <is>
          <t>分支合并</t>
        </is>
      </c>
      <c r="E20" s="10" t="inlineStr">
        <is>
          <t>P1</t>
        </is>
      </c>
      <c r="F20" s="5" t="inlineStr">
        <is>
          <t>AI工程师</t>
        </is>
      </c>
      <c r="G20" s="5" t="n">
        <v>1</v>
      </c>
      <c r="H20" s="5" t="inlineStr">
        <is>
          <t>2026-W28</t>
        </is>
      </c>
      <c r="I20" s="5" t="inlineStr">
        <is>
          <t>2026-W28</t>
        </is>
      </c>
      <c r="J20" s="2" t="inlineStr">
        <is>
          <t>V15-MRG-002</t>
        </is>
      </c>
      <c r="K20" s="6" t="inlineStr">
        <is>
          <t>未开始</t>
        </is>
      </c>
      <c r="L20" s="2" t="inlineStr">
        <is>
          <t>【目标】编写AI辅助合并测试
【测试文件路径】ai-service/tests/services/test_merge_assistant.py
【测试用例清单】
1. test_analyze_diff：AI分析两个分支差异 → 返回分析
2. test_suggest_merge：建议最优合并方案 → 返回建议
3. test_resolve_conflict：冲突自动解决建议 → 返回解决建议
4. test_merge_preview：合并预览 → 返回预览文本
【运行命令】pytest ai-service/tests/services/test_merge_assistant.py -v</t>
        </is>
      </c>
      <c r="M20" s="2" t="inlineStr">
        <is>
          <t>4个AI辅助合并测试用例通过</t>
        </is>
      </c>
      <c r="N20" s="2" t="inlineStr"/>
    </row>
    <row r="21" ht="200" customHeight="1">
      <c r="A21" s="7" t="inlineStr">
        <is>
          <t>V15-MRG-005</t>
        </is>
      </c>
      <c r="B21" s="7" t="inlineStr">
        <is>
          <t>AI辅助合并 - 实现</t>
        </is>
      </c>
      <c r="C21" s="8" t="inlineStr">
        <is>
          <t>Green实现</t>
        </is>
      </c>
      <c r="D21" s="7" t="inlineStr">
        <is>
          <t>分支合并</t>
        </is>
      </c>
      <c r="E21" s="10" t="inlineStr">
        <is>
          <t>P1</t>
        </is>
      </c>
      <c r="F21" s="9" t="inlineStr">
        <is>
          <t>AI工程师</t>
        </is>
      </c>
      <c r="G21" s="9" t="n">
        <v>2</v>
      </c>
      <c r="H21" s="9" t="inlineStr">
        <is>
          <t>2026-W28</t>
        </is>
      </c>
      <c r="I21" s="9" t="inlineStr">
        <is>
          <t>2026-W28</t>
        </is>
      </c>
      <c r="J21" s="7" t="inlineStr">
        <is>
          <t>V15-MRG-004</t>
        </is>
      </c>
      <c r="K21" s="6" t="inlineStr">
        <is>
          <t>未开始</t>
        </is>
      </c>
      <c r="L21" s="7" t="inlineStr">
        <is>
          <t>【目标】实现AI辅助合并服务
【源文件路径】ai-service/app/services/merge_assistant.py
【实现步骤】
1. 创建MergeAssistant类
2. 实现analyze_diff(branch_a_content, branch_b_content)：
   - 使用AI分析两分支差异
   - 识别关键差异点
   - 评估每个差异的影响
3. 实现suggest_merge(diff_result)：
   - AI建议最优合并方案
   - 对每个冲突区域给出建议
4. 实现resolve_conflict(conflict)：
   - AI自动解决冲突
   - 保留两分支优点
【运行命令】pytest ai-service/tests/services/test_merge_assistant.py -v</t>
        </is>
      </c>
      <c r="M21" s="7" t="inlineStr">
        <is>
          <t>AI辅助合并实现完成</t>
        </is>
      </c>
      <c r="N21" s="7" t="inlineStr"/>
    </row>
    <row r="22" ht="200" customHeight="1">
      <c r="A22" s="2" t="inlineStr">
        <is>
          <t>V15-MRG-006</t>
        </is>
      </c>
      <c r="B22" s="2" t="inlineStr">
        <is>
          <t>AI辅助合并 - 验收</t>
        </is>
      </c>
      <c r="C22" s="12" t="inlineStr">
        <is>
          <t>Acceptance验收</t>
        </is>
      </c>
      <c r="D22" s="2" t="inlineStr">
        <is>
          <t>分支合并</t>
        </is>
      </c>
      <c r="E22" s="10" t="inlineStr">
        <is>
          <t>P1</t>
        </is>
      </c>
      <c r="F22" s="5" t="inlineStr">
        <is>
          <t>AI工程师</t>
        </is>
      </c>
      <c r="G22" s="5" t="n">
        <v>1</v>
      </c>
      <c r="H22" s="5" t="inlineStr">
        <is>
          <t>2026-W28</t>
        </is>
      </c>
      <c r="I22" s="5" t="inlineStr">
        <is>
          <t>2026-W28</t>
        </is>
      </c>
      <c r="J22" s="2" t="inlineStr">
        <is>
          <t>V15-MRG-005</t>
        </is>
      </c>
      <c r="K22" s="6" t="inlineStr">
        <is>
          <t>未开始</t>
        </is>
      </c>
      <c r="L22" s="2" t="inlineStr">
        <is>
          <t>【目标】AI辅助合并验收
【测试场景】
1. AI分析差异 → 分析准确
2. 建议合并方案 → 方案合理
3. 冲突自动解决 → 解决质量高
【验收检查项】
□ 差异分析准确
□ 合并建议合理
□ 冲突解决质量高
【运行命令】pytest ai-service/tests/services/test_merge_assistant.py -v</t>
        </is>
      </c>
      <c r="M22" s="2" t="inlineStr">
        <is>
          <t>AI辅助合并验收通过</t>
        </is>
      </c>
      <c r="N22" s="2" t="inlineStr"/>
    </row>
    <row r="23" ht="200" customHeight="1">
      <c r="A23" s="7" t="inlineStr">
        <is>
          <t>V15-MRG-007</t>
        </is>
      </c>
      <c r="B23" s="7" t="inlineStr">
        <is>
          <t>合并UI - 测试</t>
        </is>
      </c>
      <c r="C23" s="4" t="inlineStr">
        <is>
          <t>Red测试</t>
        </is>
      </c>
      <c r="D23" s="7" t="inlineStr">
        <is>
          <t>分支合并</t>
        </is>
      </c>
      <c r="E23" s="10" t="inlineStr">
        <is>
          <t>P1</t>
        </is>
      </c>
      <c r="F23" s="9" t="inlineStr">
        <is>
          <t>前端</t>
        </is>
      </c>
      <c r="G23" s="9" t="n">
        <v>1</v>
      </c>
      <c r="H23" s="9" t="inlineStr">
        <is>
          <t>2026-W29</t>
        </is>
      </c>
      <c r="I23" s="9" t="inlineStr">
        <is>
          <t>2026-W29</t>
        </is>
      </c>
      <c r="J23" s="7" t="inlineStr">
        <is>
          <t>V15-MRG-003</t>
        </is>
      </c>
      <c r="K23" s="6" t="inlineStr">
        <is>
          <t>未开始</t>
        </is>
      </c>
      <c r="L23" s="7" t="inlineStr">
        <is>
          <t>【目标】编写合并UI测试
【测试文件路径】extensions/dw-branch-manager/__tests__/MergeView.test.ts
【测试用例清单】
1. test_side_by_side_view：并排对比视图渲染
2. test_conflict_highlight：冲突高亮
3. test_conflict_resolution：逐个冲突选择
4. test_merge_preview：合并预览
5. test_undo_support：撤销支持
【运行命令】npx vitest run extensions/dw-branch-manager/__tests__/MergeView.test.ts</t>
        </is>
      </c>
      <c r="M23" s="7" t="inlineStr">
        <is>
          <t>5个合并UI测试用例通过</t>
        </is>
      </c>
      <c r="N23" s="7" t="inlineStr"/>
    </row>
    <row r="24" ht="200" customHeight="1">
      <c r="A24" s="2" t="inlineStr">
        <is>
          <t>V15-MRG-008</t>
        </is>
      </c>
      <c r="B24" s="2" t="inlineStr">
        <is>
          <t>合并UI - 实现</t>
        </is>
      </c>
      <c r="C24" s="8" t="inlineStr">
        <is>
          <t>Green实现</t>
        </is>
      </c>
      <c r="D24" s="2" t="inlineStr">
        <is>
          <t>分支合并</t>
        </is>
      </c>
      <c r="E24" s="10" t="inlineStr">
        <is>
          <t>P1</t>
        </is>
      </c>
      <c r="F24" s="5" t="inlineStr">
        <is>
          <t>前端</t>
        </is>
      </c>
      <c r="G24" s="5" t="n">
        <v>3</v>
      </c>
      <c r="H24" s="5" t="inlineStr">
        <is>
          <t>2026-W29</t>
        </is>
      </c>
      <c r="I24" s="5" t="inlineStr">
        <is>
          <t>2026-W29</t>
        </is>
      </c>
      <c r="J24" s="2" t="inlineStr">
        <is>
          <t>V15-MRG-007</t>
        </is>
      </c>
      <c r="K24" s="6" t="inlineStr">
        <is>
          <t>未开始</t>
        </is>
      </c>
      <c r="L24" s="2" t="inlineStr">
        <is>
          <t>【目标】实现分支合并UI
【源文件路径】extensions/dw-branch-manager/src/webview/MergeView.ts
【实现步骤】
1. 并排对比视图：
   - 左侧：分支A内容
   - 右侧：分支B内容
   - 中间：合并结果
2. 冲突高亮：
   - 冲突区域红色/蓝色高亮
   - 非冲突部分绿色高亮（已自动合并）
3. 逐个冲突选择：
   - 上一个/下一个冲突导航
   - 选择A/选择B/保留两者
4. 合并预览：
   - 实时显示合并结果
   - AI建议按钮
5. 撤销支持：
   - 每次选择可撤销
   - Ctrl+Z撤销
【运行命令】npx vitest run extensions/dw-branch-manager/__tests__/MergeView.test.ts</t>
        </is>
      </c>
      <c r="M24" s="2" t="inlineStr">
        <is>
          <t>合并UI实现完成</t>
        </is>
      </c>
      <c r="N24" s="2" t="inlineStr"/>
    </row>
    <row r="25" ht="200" customHeight="1">
      <c r="A25" s="7" t="inlineStr">
        <is>
          <t>V15-MRG-009</t>
        </is>
      </c>
      <c r="B25" s="7" t="inlineStr">
        <is>
          <t>合并UI - 验收</t>
        </is>
      </c>
      <c r="C25" s="12" t="inlineStr">
        <is>
          <t>Acceptance验收</t>
        </is>
      </c>
      <c r="D25" s="7" t="inlineStr">
        <is>
          <t>分支合并</t>
        </is>
      </c>
      <c r="E25" s="10" t="inlineStr">
        <is>
          <t>P1</t>
        </is>
      </c>
      <c r="F25" s="9" t="inlineStr">
        <is>
          <t>前端</t>
        </is>
      </c>
      <c r="G25" s="9" t="n">
        <v>1</v>
      </c>
      <c r="H25" s="9" t="inlineStr">
        <is>
          <t>2026-W29</t>
        </is>
      </c>
      <c r="I25" s="9" t="inlineStr">
        <is>
          <t>2026-W29</t>
        </is>
      </c>
      <c r="J25" s="7" t="inlineStr">
        <is>
          <t>V15-MRG-008</t>
        </is>
      </c>
      <c r="K25" s="6" t="inlineStr">
        <is>
          <t>未开始</t>
        </is>
      </c>
      <c r="L25" s="7" t="inlineStr">
        <is>
          <t>【目标】合并UI端到端验收
【测试场景】
1. 并排对比视图 → 显示正确
2. 冲突高亮 → 颜色正确
3. 逐个冲突选择 → 导航和选择正常
4. 合并预览 → 实时更新
5. 撤销 → Ctrl+Z正常
【验收检查项】
□ 并排对比正确
□ 冲突高亮清晰
□ 选择操作正常
□ 预览实时更新
□ 撤销可用
【运行命令】F5启动Extension Development Host</t>
        </is>
      </c>
      <c r="M25" s="7" t="inlineStr">
        <is>
          <t>合并UI验收通过</t>
        </is>
      </c>
      <c r="N25" s="7" t="inlineStr"/>
    </row>
    <row r="26" ht="200" customHeight="1">
      <c r="A26" s="2" t="inlineStr">
        <is>
          <t>V15-DAI-001</t>
        </is>
      </c>
      <c r="B26" s="2" t="inlineStr">
        <is>
          <t>AI文本检测 - 测试</t>
        </is>
      </c>
      <c r="C26" s="4" t="inlineStr">
        <is>
          <t>Red测试</t>
        </is>
      </c>
      <c r="D26" s="2" t="inlineStr">
        <is>
          <t>去AI味引擎</t>
        </is>
      </c>
      <c r="E26" s="10" t="inlineStr">
        <is>
          <t>P1</t>
        </is>
      </c>
      <c r="F26" s="5" t="inlineStr">
        <is>
          <t>AI工程师</t>
        </is>
      </c>
      <c r="G26" s="5" t="n">
        <v>1</v>
      </c>
      <c r="H26" s="5" t="inlineStr">
        <is>
          <t>2026-W30</t>
        </is>
      </c>
      <c r="I26" s="5" t="inlineStr">
        <is>
          <t>2026-W30</t>
        </is>
      </c>
      <c r="J26" s="2" t="inlineStr"/>
      <c r="K26" s="6" t="inlineStr">
        <is>
          <t>未开始</t>
        </is>
      </c>
      <c r="L26" s="2" t="inlineStr">
        <is>
          <t>【目标】编写AI文本检测测试
【测试文件路径】ai-service/tests/services/test_ai_detector.py
【测试用例清单】
1. test_detect_ai_text：检测AI生成文本 → 评分&gt;70
2. test_detect_human_text：检测人类写作 → 评分&lt;30
3. test_detect_common_patterns：识别常见AI句式 → 列出
4. test_detect_overly_neat：识别过度工整结构 → 标记
5. test_score_range：评分范围0-100 → 正确
【运行命令】pytest ai-service/tests/services/test_ai_detector.py -v</t>
        </is>
      </c>
      <c r="M26" s="2" t="inlineStr">
        <is>
          <t>5个AI检测测试用例通过</t>
        </is>
      </c>
      <c r="N26" s="2" t="inlineStr"/>
    </row>
    <row r="27" ht="200" customHeight="1">
      <c r="A27" s="7" t="inlineStr">
        <is>
          <t>V15-DAI-002</t>
        </is>
      </c>
      <c r="B27" s="7" t="inlineStr">
        <is>
          <t>AI文本检测 - 实现</t>
        </is>
      </c>
      <c r="C27" s="8" t="inlineStr">
        <is>
          <t>Green实现</t>
        </is>
      </c>
      <c r="D27" s="7" t="inlineStr">
        <is>
          <t>去AI味引擎</t>
        </is>
      </c>
      <c r="E27" s="10" t="inlineStr">
        <is>
          <t>P1</t>
        </is>
      </c>
      <c r="F27" s="9" t="inlineStr">
        <is>
          <t>AI工程师</t>
        </is>
      </c>
      <c r="G27" s="9" t="n">
        <v>2</v>
      </c>
      <c r="H27" s="9" t="inlineStr">
        <is>
          <t>2026-W30</t>
        </is>
      </c>
      <c r="I27" s="9" t="inlineStr">
        <is>
          <t>2026-W30</t>
        </is>
      </c>
      <c r="J27" s="7" t="inlineStr">
        <is>
          <t>V15-DAI-001</t>
        </is>
      </c>
      <c r="K27" s="6" t="inlineStr">
        <is>
          <t>未开始</t>
        </is>
      </c>
      <c r="L27" s="7" t="inlineStr">
        <is>
          <t>【目标】实现AI文本检测服务
【源文件路径】ai-service/app/services/ai_detector.py
【实现步骤】
1. 创建AIDetector类
2. 实现detect(text) → AIDetectionResult(score, patterns, suggestions)
3. 检测维度：
   - 常见AI句式（"值得注意的是"、"总而言之"等）
   - 过度工整的段落结构
   - 缺乏个人风格的用词
   - 重复的句式模式
4. 评分算法：综合各维度给出0-100分
5. 返回具体AI味标记位置和建议
【运行命令】pytest ai-service/tests/services/test_ai_detector.py -v</t>
        </is>
      </c>
      <c r="M27" s="7" t="inlineStr">
        <is>
          <t>AI文本检测实现完成</t>
        </is>
      </c>
      <c r="N27" s="7" t="inlineStr"/>
    </row>
    <row r="28" ht="200" customHeight="1">
      <c r="A28" s="2" t="inlineStr">
        <is>
          <t>V15-DAI-003</t>
        </is>
      </c>
      <c r="B28" s="2" t="inlineStr">
        <is>
          <t>AI文本检测 - 验收</t>
        </is>
      </c>
      <c r="C28" s="12" t="inlineStr">
        <is>
          <t>Acceptance验收</t>
        </is>
      </c>
      <c r="D28" s="2" t="inlineStr">
        <is>
          <t>去AI味引擎</t>
        </is>
      </c>
      <c r="E28" s="10" t="inlineStr">
        <is>
          <t>P1</t>
        </is>
      </c>
      <c r="F28" s="5" t="inlineStr">
        <is>
          <t>AI工程师</t>
        </is>
      </c>
      <c r="G28" s="5" t="n">
        <v>1</v>
      </c>
      <c r="H28" s="5" t="inlineStr">
        <is>
          <t>2026-W30</t>
        </is>
      </c>
      <c r="I28" s="5" t="inlineStr">
        <is>
          <t>2026-W30</t>
        </is>
      </c>
      <c r="J28" s="2" t="inlineStr">
        <is>
          <t>V15-DAI-002</t>
        </is>
      </c>
      <c r="K28" s="6" t="inlineStr">
        <is>
          <t>未开始</t>
        </is>
      </c>
      <c r="L28" s="2" t="inlineStr">
        <is>
          <t>【目标】AI文本检测验收
【测试场景】
1. AI生成文本 → 评分&gt;70
2. 人类写作 → 评分&lt;30
3. 混合文本 → 评分合理
【验收检查项】
□ 检测准确率≥85%
□ 评分合理
□ 标记位置准确
【运行命令】pytest ai-service/tests/services/test_ai_detector.py -v</t>
        </is>
      </c>
      <c r="M28" s="2" t="inlineStr">
        <is>
          <t>AI文本检测验收通过</t>
        </is>
      </c>
      <c r="N28" s="2" t="inlineStr"/>
    </row>
    <row r="29" ht="200" customHeight="1">
      <c r="A29" s="7" t="inlineStr">
        <is>
          <t>V15-DAI-004</t>
        </is>
      </c>
      <c r="B29" s="7" t="inlineStr">
        <is>
          <t>智能去AI味 - 测试</t>
        </is>
      </c>
      <c r="C29" s="4" t="inlineStr">
        <is>
          <t>Red测试</t>
        </is>
      </c>
      <c r="D29" s="7" t="inlineStr">
        <is>
          <t>去AI味引擎</t>
        </is>
      </c>
      <c r="E29" s="10" t="inlineStr">
        <is>
          <t>P1</t>
        </is>
      </c>
      <c r="F29" s="9" t="inlineStr">
        <is>
          <t>AI工程师</t>
        </is>
      </c>
      <c r="G29" s="9" t="n">
        <v>1</v>
      </c>
      <c r="H29" s="9" t="inlineStr">
        <is>
          <t>2026-W30</t>
        </is>
      </c>
      <c r="I29" s="9" t="inlineStr">
        <is>
          <t>2026-W30</t>
        </is>
      </c>
      <c r="J29" s="7" t="inlineStr">
        <is>
          <t>V15-DAI-003</t>
        </is>
      </c>
      <c r="K29" s="6" t="inlineStr">
        <is>
          <t>未开始</t>
        </is>
      </c>
      <c r="L29" s="7" t="inlineStr">
        <is>
          <t>【目标】编写智能去AI味测试
【测试文件路径】ai-service/tests/services/test_de_ai.py
【测试用例清单】
1. test_multi_model_rewrite：多模型交叉改写 → 降低检测率
2. test_polish_pipeline：改写→润色→人性化 → 流水线正确
3. test_detection_score_decrease：处理后检测评分降低
【运行命令】pytest ai-service/tests/services/test_de_ai.py -v</t>
        </is>
      </c>
      <c r="M29" s="7" t="inlineStr">
        <is>
          <t>3个去AI味测试用例通过</t>
        </is>
      </c>
      <c r="N29" s="7" t="inlineStr"/>
    </row>
    <row r="30" ht="200" customHeight="1">
      <c r="A30" s="2" t="inlineStr">
        <is>
          <t>V15-DAI-005</t>
        </is>
      </c>
      <c r="B30" s="2" t="inlineStr">
        <is>
          <t>智能去AI味 - 实现</t>
        </is>
      </c>
      <c r="C30" s="8" t="inlineStr">
        <is>
          <t>Green实现</t>
        </is>
      </c>
      <c r="D30" s="2" t="inlineStr">
        <is>
          <t>去AI味引擎</t>
        </is>
      </c>
      <c r="E30" s="10" t="inlineStr">
        <is>
          <t>P1</t>
        </is>
      </c>
      <c r="F30" s="5" t="inlineStr">
        <is>
          <t>AI工程师</t>
        </is>
      </c>
      <c r="G30" s="5" t="n">
        <v>3</v>
      </c>
      <c r="H30" s="5" t="inlineStr">
        <is>
          <t>2026-W30</t>
        </is>
      </c>
      <c r="I30" s="5" t="inlineStr">
        <is>
          <t>2026-W30</t>
        </is>
      </c>
      <c r="J30" s="2" t="inlineStr">
        <is>
          <t>V15-DAI-004</t>
        </is>
      </c>
      <c r="K30" s="6" t="inlineStr">
        <is>
          <t>未开始</t>
        </is>
      </c>
      <c r="L30" s="2" t="inlineStr">
        <is>
          <t>【目标】实现智能去AI味服务
【源文件路径】ai-service/app/services/de_ai_service.py
【实现步骤】
1. 创建DeAIService类
2. 实现三阶段流水线：
   - 阶段1：模型A改写（打破AI句式）
   - 阶段2：模型B润色（提升文笔）
   - 阶段3：模型C人性化（注入个人风格）
3. 每阶段使用不同模型（避免单一模型偏见）
4. 处理后重新检测，验证评分降低
5. 如果评分仍&gt;50，可再次处理
【运行命令】pytest ai-service/tests/services/test_de_ai.py -v</t>
        </is>
      </c>
      <c r="M30" s="2" t="inlineStr">
        <is>
          <t>智能去AI味实现完成</t>
        </is>
      </c>
      <c r="N30" s="2" t="inlineStr"/>
    </row>
    <row r="31" ht="200" customHeight="1">
      <c r="A31" s="7" t="inlineStr">
        <is>
          <t>V15-DAI-006</t>
        </is>
      </c>
      <c r="B31" s="7" t="inlineStr">
        <is>
          <t>智能去AI味 - 验收</t>
        </is>
      </c>
      <c r="C31" s="12" t="inlineStr">
        <is>
          <t>Acceptance验收</t>
        </is>
      </c>
      <c r="D31" s="7" t="inlineStr">
        <is>
          <t>去AI味引擎</t>
        </is>
      </c>
      <c r="E31" s="10" t="inlineStr">
        <is>
          <t>P1</t>
        </is>
      </c>
      <c r="F31" s="9" t="inlineStr">
        <is>
          <t>AI工程师</t>
        </is>
      </c>
      <c r="G31" s="9" t="n">
        <v>1</v>
      </c>
      <c r="H31" s="9" t="inlineStr">
        <is>
          <t>2026-W30</t>
        </is>
      </c>
      <c r="I31" s="9" t="inlineStr">
        <is>
          <t>2026-W30</t>
        </is>
      </c>
      <c r="J31" s="7" t="inlineStr">
        <is>
          <t>V15-DAI-005</t>
        </is>
      </c>
      <c r="K31" s="6" t="inlineStr">
        <is>
          <t>未开始</t>
        </is>
      </c>
      <c r="L31" s="7" t="inlineStr">
        <is>
          <t>【目标】智能去AI味验收
【测试场景】
1. AI文本 → 去AI味处理 → 检测评分降低
2. 处理后文本质量 → 可读性不下降
3. 多次处理 → 评分持续降低
【验收检查项】
□ 检测评分降低≥30%
□ 文本质量不下降
□ 处理时间合理（&lt;30s/千字）
【运行命令】pytest ai-service/tests/services/test_de_ai.py -v</t>
        </is>
      </c>
      <c r="M31" s="7" t="inlineStr">
        <is>
          <t>智能去AI味验收通过</t>
        </is>
      </c>
      <c r="N31" s="7" t="inlineStr"/>
    </row>
    <row r="32" ht="200" customHeight="1">
      <c r="A32" s="2" t="inlineStr">
        <is>
          <t>V15-DAI-007</t>
        </is>
      </c>
      <c r="B32" s="2" t="inlineStr">
        <is>
          <t>个性化风格学习 - 测试</t>
        </is>
      </c>
      <c r="C32" s="4" t="inlineStr">
        <is>
          <t>Red测试</t>
        </is>
      </c>
      <c r="D32" s="2" t="inlineStr">
        <is>
          <t>去AI味引擎</t>
        </is>
      </c>
      <c r="E32" s="11" t="inlineStr">
        <is>
          <t>P2</t>
        </is>
      </c>
      <c r="F32" s="5" t="inlineStr">
        <is>
          <t>AI工程师</t>
        </is>
      </c>
      <c r="G32" s="5" t="n">
        <v>1</v>
      </c>
      <c r="H32" s="5" t="inlineStr">
        <is>
          <t>2026-W31</t>
        </is>
      </c>
      <c r="I32" s="5" t="inlineStr">
        <is>
          <t>2026-W31</t>
        </is>
      </c>
      <c r="J32" s="2" t="inlineStr">
        <is>
          <t>V15-DAI-005</t>
        </is>
      </c>
      <c r="K32" s="6" t="inlineStr">
        <is>
          <t>未开始</t>
        </is>
      </c>
      <c r="L32" s="2" t="inlineStr">
        <is>
          <t>【目标】编写个性化风格学习测试
【测试文件路径】ai-service/tests/services/test_style_learner.py
【测试用例清单】
1. test_collect_style_features：收集写作风格特征
2. test_build_style_profile：构建风格Profile
3. test_inject_style：AI生成时注入风格
【运行命令】pytest ai-service/tests/services/test_style_learner.py -v</t>
        </is>
      </c>
      <c r="M32" s="2" t="inlineStr">
        <is>
          <t>3个风格学习测试用例通过</t>
        </is>
      </c>
      <c r="N32" s="2" t="inlineStr"/>
    </row>
    <row r="33" ht="200" customHeight="1">
      <c r="A33" s="7" t="inlineStr">
        <is>
          <t>V15-DAI-008</t>
        </is>
      </c>
      <c r="B33" s="7" t="inlineStr">
        <is>
          <t>个性化风格学习 - 实现</t>
        </is>
      </c>
      <c r="C33" s="8" t="inlineStr">
        <is>
          <t>Green实现</t>
        </is>
      </c>
      <c r="D33" s="7" t="inlineStr">
        <is>
          <t>去AI味引擎</t>
        </is>
      </c>
      <c r="E33" s="11" t="inlineStr">
        <is>
          <t>P2</t>
        </is>
      </c>
      <c r="F33" s="9" t="inlineStr">
        <is>
          <t>AI工程师</t>
        </is>
      </c>
      <c r="G33" s="9" t="n">
        <v>3</v>
      </c>
      <c r="H33" s="9" t="inlineStr">
        <is>
          <t>2026-W31</t>
        </is>
      </c>
      <c r="I33" s="9" t="inlineStr">
        <is>
          <t>2026-W31</t>
        </is>
      </c>
      <c r="J33" s="7" t="inlineStr">
        <is>
          <t>V15-DAI-007</t>
        </is>
      </c>
      <c r="K33" s="6" t="inlineStr">
        <is>
          <t>未开始</t>
        </is>
      </c>
      <c r="L33" s="7" t="inlineStr">
        <is>
          <t>【目标】实现个性化风格学习
【源文件路径】ai-service/app/services/style_learner.py
【实现步骤】
1. 创建StyleLearner类
2. 收集用户历史文本 → 分析风格特征：
   - 常用词汇和表达
   - 句式偏好（长短句比例）
   - 描写风格（细腻/简洁/华丽）
   - 对话风格
3. 构建风格Profile → 存储到数据库
4. AI生成时注入风格 → 修改system prompt
【运行命令】pytest ai-service/tests/services/test_style_learner.py -v</t>
        </is>
      </c>
      <c r="M33" s="7" t="inlineStr">
        <is>
          <t>个性化风格学习实现完成</t>
        </is>
      </c>
      <c r="N33" s="7" t="inlineStr"/>
    </row>
    <row r="34" ht="200" customHeight="1">
      <c r="A34" s="2" t="inlineStr">
        <is>
          <t>V15-DAI-009</t>
        </is>
      </c>
      <c r="B34" s="2" t="inlineStr">
        <is>
          <t>个性化风格学习 - 验收</t>
        </is>
      </c>
      <c r="C34" s="12" t="inlineStr">
        <is>
          <t>Acceptance验收</t>
        </is>
      </c>
      <c r="D34" s="2" t="inlineStr">
        <is>
          <t>去AI味引擎</t>
        </is>
      </c>
      <c r="E34" s="11" t="inlineStr">
        <is>
          <t>P2</t>
        </is>
      </c>
      <c r="F34" s="5" t="inlineStr">
        <is>
          <t>AI工程师</t>
        </is>
      </c>
      <c r="G34" s="5" t="n">
        <v>1</v>
      </c>
      <c r="H34" s="5" t="inlineStr">
        <is>
          <t>2026-W31</t>
        </is>
      </c>
      <c r="I34" s="5" t="inlineStr">
        <is>
          <t>2026-W31</t>
        </is>
      </c>
      <c r="J34" s="2" t="inlineStr">
        <is>
          <t>V15-DAI-008</t>
        </is>
      </c>
      <c r="K34" s="6" t="inlineStr">
        <is>
          <t>未开始</t>
        </is>
      </c>
      <c r="L34" s="2" t="inlineStr">
        <is>
          <t>【目标】个性化风格学习验收
【测试场景】
1. 收集历史文本 → 风格特征提取
2. 构建Profile → 存储正确
3. 注入风格 → AI生成文本风格匹配
【验收检查项】
□ 风格特征提取合理
□ Profile存储正确
□ 风格注入有效
【运行命令】pytest ai-service/tests/services/test_style_learner.py -v</t>
        </is>
      </c>
      <c r="M34" s="2" t="inlineStr">
        <is>
          <t>个性化风格学习验收通过</t>
        </is>
      </c>
      <c r="N34" s="2" t="inlineStr"/>
    </row>
    <row r="35" ht="200" customHeight="1">
      <c r="A35" s="7" t="inlineStr">
        <is>
          <t>V15-MDL-001</t>
        </is>
      </c>
      <c r="B35" s="7" t="inlineStr">
        <is>
          <t>Gemini适配器 - 测试</t>
        </is>
      </c>
      <c r="C35" s="4" t="inlineStr">
        <is>
          <t>Red测试</t>
        </is>
      </c>
      <c r="D35" s="7" t="inlineStr">
        <is>
          <t>模型扩展</t>
        </is>
      </c>
      <c r="E35" s="10" t="inlineStr">
        <is>
          <t>P1</t>
        </is>
      </c>
      <c r="F35" s="9" t="inlineStr">
        <is>
          <t>AI工程师</t>
        </is>
      </c>
      <c r="G35" s="9" t="n">
        <v>1</v>
      </c>
      <c r="H35" s="9" t="inlineStr">
        <is>
          <t>2026-W32</t>
        </is>
      </c>
      <c r="I35" s="9" t="inlineStr">
        <is>
          <t>2026-W32</t>
        </is>
      </c>
      <c r="J35" s="7" t="inlineStr"/>
      <c r="K35" s="6" t="inlineStr">
        <is>
          <t>未开始</t>
        </is>
      </c>
      <c r="L35" s="7" t="inlineStr">
        <is>
          <t>【目标】编写Gemini适配器测试
【测试文件路径】ai-service/tests/adapters/test_gemini.py
【测试用例清单】
1. test_generate_success：Mock Gemini API → 返回正确
2. test_stream_success：SSE流正确
3. test_error_handling：错误处理
【运行命令】pytest ai-service/tests/adapters/test_gemini.py -v</t>
        </is>
      </c>
      <c r="M35" s="7" t="inlineStr">
        <is>
          <t>3个Gemini测试用例通过</t>
        </is>
      </c>
      <c r="N35" s="7" t="inlineStr"/>
    </row>
    <row r="36" ht="200" customHeight="1">
      <c r="A36" s="2" t="inlineStr">
        <is>
          <t>V15-MDL-002</t>
        </is>
      </c>
      <c r="B36" s="2" t="inlineStr">
        <is>
          <t>Gemini适配器 - 实现</t>
        </is>
      </c>
      <c r="C36" s="8" t="inlineStr">
        <is>
          <t>Green实现</t>
        </is>
      </c>
      <c r="D36" s="2" t="inlineStr">
        <is>
          <t>模型扩展</t>
        </is>
      </c>
      <c r="E36" s="10" t="inlineStr">
        <is>
          <t>P1</t>
        </is>
      </c>
      <c r="F36" s="5" t="inlineStr">
        <is>
          <t>AI工程师</t>
        </is>
      </c>
      <c r="G36" s="5" t="n">
        <v>2</v>
      </c>
      <c r="H36" s="5" t="inlineStr">
        <is>
          <t>2026-W32</t>
        </is>
      </c>
      <c r="I36" s="5" t="inlineStr">
        <is>
          <t>2026-W32</t>
        </is>
      </c>
      <c r="J36" s="2" t="inlineStr">
        <is>
          <t>V15-MDL-001</t>
        </is>
      </c>
      <c r="K36" s="6" t="inlineStr">
        <is>
          <t>未开始</t>
        </is>
      </c>
      <c r="L36" s="2" t="inlineStr">
        <is>
          <t>【目标】实现Gemini适配器
【源文件路径】ai-service/app/adapters/gemini_adapter.py
【实现步骤】
1. 继承BaseModelAdapter
2. 使用Google Generative AI SDK（google-generativeai）
3. 模型：gemini-2.0-flash / gemini-2.0-pro
4. 实现generate/stream/count_tokens/health_check
5. 注册到ModelAdapterFactory
【运行命令】pytest ai-service/tests/adapters/test_gemini.py -v</t>
        </is>
      </c>
      <c r="M36" s="2" t="inlineStr">
        <is>
          <t>Gemini适配器实现完成</t>
        </is>
      </c>
      <c r="N36" s="2" t="inlineStr"/>
    </row>
    <row r="37" ht="200" customHeight="1">
      <c r="A37" s="7" t="inlineStr">
        <is>
          <t>V15-MDL-003</t>
        </is>
      </c>
      <c r="B37" s="7" t="inlineStr">
        <is>
          <t>Gemini适配器 - 验收</t>
        </is>
      </c>
      <c r="C37" s="12" t="inlineStr">
        <is>
          <t>Acceptance验收</t>
        </is>
      </c>
      <c r="D37" s="7" t="inlineStr">
        <is>
          <t>模型扩展</t>
        </is>
      </c>
      <c r="E37" s="10" t="inlineStr">
        <is>
          <t>P1</t>
        </is>
      </c>
      <c r="F37" s="9" t="inlineStr">
        <is>
          <t>AI工程师</t>
        </is>
      </c>
      <c r="G37" s="9" t="n">
        <v>1</v>
      </c>
      <c r="H37" s="9" t="inlineStr">
        <is>
          <t>2026-W32</t>
        </is>
      </c>
      <c r="I37" s="9" t="inlineStr">
        <is>
          <t>2026-W32</t>
        </is>
      </c>
      <c r="J37" s="7" t="inlineStr">
        <is>
          <t>V15-MDL-002</t>
        </is>
      </c>
      <c r="K37" s="6" t="inlineStr">
        <is>
          <t>未开始</t>
        </is>
      </c>
      <c r="L37" s="7" t="inlineStr">
        <is>
          <t>【目标】Gemini适配器验收
【验收检查项】
□ API调用正常
□ 流式响应正确
□ 错误处理完善
【运行命令】pytest ai-service/tests/adapters/test_gemini.py -v -m integration</t>
        </is>
      </c>
      <c r="M37" s="7" t="inlineStr">
        <is>
          <t>Gemini适配器验收通过</t>
        </is>
      </c>
      <c r="N37" s="7" t="inlineStr"/>
    </row>
    <row r="38" ht="200" customHeight="1">
      <c r="A38" s="2" t="inlineStr">
        <is>
          <t>V15-MDL-004</t>
        </is>
      </c>
      <c r="B38" s="2" t="inlineStr">
        <is>
          <t>Llama适配器 - 测试</t>
        </is>
      </c>
      <c r="C38" s="4" t="inlineStr">
        <is>
          <t>Red测试</t>
        </is>
      </c>
      <c r="D38" s="2" t="inlineStr">
        <is>
          <t>模型扩展</t>
        </is>
      </c>
      <c r="E38" s="11" t="inlineStr">
        <is>
          <t>P2</t>
        </is>
      </c>
      <c r="F38" s="5" t="inlineStr">
        <is>
          <t>AI工程师</t>
        </is>
      </c>
      <c r="G38" s="5" t="n">
        <v>1</v>
      </c>
      <c r="H38" s="5" t="inlineStr">
        <is>
          <t>2026-W32</t>
        </is>
      </c>
      <c r="I38" s="5" t="inlineStr">
        <is>
          <t>2026-W32</t>
        </is>
      </c>
      <c r="J38" s="2" t="inlineStr"/>
      <c r="K38" s="6" t="inlineStr">
        <is>
          <t>未开始</t>
        </is>
      </c>
      <c r="L38" s="2" t="inlineStr">
        <is>
          <t>【目标】编写Llama适配器测试（本地部署）
【测试文件路径】ai-service/tests/adapters/test_llama.py
【测试用例清单】
1. test_generate_success：Mock Llama API（OpenAI兼容）
2. test_stream_success：SSE流
3. test_local_deployment：本地部署连接
【运行命令】pytest ai-service/tests/adapters/test_llama.py -v</t>
        </is>
      </c>
      <c r="M38" s="2" t="inlineStr">
        <is>
          <t>3个Llama测试用例通过</t>
        </is>
      </c>
      <c r="N38" s="2" t="inlineStr"/>
    </row>
    <row r="39" ht="200" customHeight="1">
      <c r="A39" s="7" t="inlineStr">
        <is>
          <t>V15-MDL-005</t>
        </is>
      </c>
      <c r="B39" s="7" t="inlineStr">
        <is>
          <t>Llama适配器 - 实现</t>
        </is>
      </c>
      <c r="C39" s="8" t="inlineStr">
        <is>
          <t>Green实现</t>
        </is>
      </c>
      <c r="D39" s="7" t="inlineStr">
        <is>
          <t>模型扩展</t>
        </is>
      </c>
      <c r="E39" s="11" t="inlineStr">
        <is>
          <t>P2</t>
        </is>
      </c>
      <c r="F39" s="9" t="inlineStr">
        <is>
          <t>AI工程师</t>
        </is>
      </c>
      <c r="G39" s="9" t="n">
        <v>2</v>
      </c>
      <c r="H39" s="9" t="inlineStr">
        <is>
          <t>2026-W32</t>
        </is>
      </c>
      <c r="I39" s="9" t="inlineStr">
        <is>
          <t>2026-W32</t>
        </is>
      </c>
      <c r="J39" s="7" t="inlineStr">
        <is>
          <t>V15-MDL-004</t>
        </is>
      </c>
      <c r="K39" s="6" t="inlineStr">
        <is>
          <t>未开始</t>
        </is>
      </c>
      <c r="L39" s="7" t="inlineStr">
        <is>
          <t>【目标】实现Llama适配器（支持本地部署）
【源文件路径】ai-service/app/adapters/llama_adapter.py
【实现步骤】
1. 使用OpenAI兼容API格式（vLLM/Ollama）
2. base_url可配置（本地或远程）
3. 模型：llama-3-70b / llama-3-8b
4. 实现generate/stream/count_tokens/health_check
5. 注册到ModelAdapterFactory
【运行命令】pytest ai-service/tests/adapters/test_llama.py -v</t>
        </is>
      </c>
      <c r="M39" s="7" t="inlineStr">
        <is>
          <t>Llama适配器实现完成</t>
        </is>
      </c>
      <c r="N39" s="7" t="inlineStr"/>
    </row>
    <row r="40" ht="200" customHeight="1">
      <c r="A40" s="2" t="inlineStr">
        <is>
          <t>V15-MDL-006</t>
        </is>
      </c>
      <c r="B40" s="2" t="inlineStr">
        <is>
          <t>Llama适配器 - 验收</t>
        </is>
      </c>
      <c r="C40" s="12" t="inlineStr">
        <is>
          <t>Acceptance验收</t>
        </is>
      </c>
      <c r="D40" s="2" t="inlineStr">
        <is>
          <t>模型扩展</t>
        </is>
      </c>
      <c r="E40" s="11" t="inlineStr">
        <is>
          <t>P2</t>
        </is>
      </c>
      <c r="F40" s="5" t="inlineStr">
        <is>
          <t>AI工程师</t>
        </is>
      </c>
      <c r="G40" s="5" t="n">
        <v>1</v>
      </c>
      <c r="H40" s="5" t="inlineStr">
        <is>
          <t>2026-W32</t>
        </is>
      </c>
      <c r="I40" s="5" t="inlineStr">
        <is>
          <t>2026-W32</t>
        </is>
      </c>
      <c r="J40" s="2" t="inlineStr">
        <is>
          <t>V15-MDL-005</t>
        </is>
      </c>
      <c r="K40" s="6" t="inlineStr">
        <is>
          <t>未开始</t>
        </is>
      </c>
      <c r="L40" s="2" t="inlineStr">
        <is>
          <t>【目标】Llama适配器验收
【验收检查项】
□ 本地部署连接正常
□ API调用正常
□ 流式响应正确
【运行命令】pytest ai-service/tests/adapters/test_llama.py -v</t>
        </is>
      </c>
      <c r="M40" s="2" t="inlineStr">
        <is>
          <t>Llama适配器验收通过</t>
        </is>
      </c>
      <c r="N40" s="2" t="inlineStr"/>
    </row>
    <row r="41" ht="200" customHeight="1">
      <c r="A41" s="7" t="inlineStr">
        <is>
          <t>V15-MDL-007</t>
        </is>
      </c>
      <c r="B41" s="7" t="inlineStr">
        <is>
          <t>GLM适配器 - 测试</t>
        </is>
      </c>
      <c r="C41" s="4" t="inlineStr">
        <is>
          <t>Red测试</t>
        </is>
      </c>
      <c r="D41" s="7" t="inlineStr">
        <is>
          <t>模型扩展</t>
        </is>
      </c>
      <c r="E41" s="11" t="inlineStr">
        <is>
          <t>P2</t>
        </is>
      </c>
      <c r="F41" s="9" t="inlineStr">
        <is>
          <t>AI工程师</t>
        </is>
      </c>
      <c r="G41" s="9" t="n">
        <v>1</v>
      </c>
      <c r="H41" s="9" t="inlineStr">
        <is>
          <t>2026-W32</t>
        </is>
      </c>
      <c r="I41" s="9" t="inlineStr">
        <is>
          <t>2026-W32</t>
        </is>
      </c>
      <c r="J41" s="7" t="inlineStr"/>
      <c r="K41" s="6" t="inlineStr">
        <is>
          <t>未开始</t>
        </is>
      </c>
      <c r="L41" s="7" t="inlineStr">
        <is>
          <t>【目标】编写GLM适配器测试
【测试文件路径】ai-service/tests/adapters/test_glm.py
【测试用例清单】
1. test_generate_success：Mock GLM API
2. test_stream_success：SSE流
3. test_chinese_quality：中文生成质量
【运行命令】pytest ai-service/tests/adapters/test_glm.py -v</t>
        </is>
      </c>
      <c r="M41" s="7" t="inlineStr">
        <is>
          <t>3个GLM测试用例通过</t>
        </is>
      </c>
      <c r="N41" s="7" t="inlineStr"/>
    </row>
    <row r="42" ht="200" customHeight="1">
      <c r="A42" s="2" t="inlineStr">
        <is>
          <t>V15-MDL-008</t>
        </is>
      </c>
      <c r="B42" s="2" t="inlineStr">
        <is>
          <t>GLM适配器 - 实现</t>
        </is>
      </c>
      <c r="C42" s="8" t="inlineStr">
        <is>
          <t>Green实现</t>
        </is>
      </c>
      <c r="D42" s="2" t="inlineStr">
        <is>
          <t>模型扩展</t>
        </is>
      </c>
      <c r="E42" s="11" t="inlineStr">
        <is>
          <t>P2</t>
        </is>
      </c>
      <c r="F42" s="5" t="inlineStr">
        <is>
          <t>AI工程师</t>
        </is>
      </c>
      <c r="G42" s="5" t="n">
        <v>2</v>
      </c>
      <c r="H42" s="5" t="inlineStr">
        <is>
          <t>2026-W32</t>
        </is>
      </c>
      <c r="I42" s="5" t="inlineStr">
        <is>
          <t>2026-W32</t>
        </is>
      </c>
      <c r="J42" s="2" t="inlineStr">
        <is>
          <t>V15-MDL-007</t>
        </is>
      </c>
      <c r="K42" s="6" t="inlineStr">
        <is>
          <t>未开始</t>
        </is>
      </c>
      <c r="L42" s="2" t="inlineStr">
        <is>
          <t>【目标】实现GLM（智谱AI）适配器
【源文件路径】ai-service/app/adapters/glm_adapter.py
【实现步骤】
1. 使用智谱AI OpenAI兼容API
2. base_url = "https://open.bigmodel.cn/api/paas/v4"
3. 模型：glm-4-plus / glm-4
4. 实现generate/stream/count_tokens/health_check
5. 注册到ModelAdapterFactory
【运行命令】pytest ai-service/tests/adapters/test_glm.py -v</t>
        </is>
      </c>
      <c r="M42" s="2" t="inlineStr">
        <is>
          <t>GLM适配器实现完成</t>
        </is>
      </c>
      <c r="N42" s="2" t="inlineStr"/>
    </row>
    <row r="43" ht="200" customHeight="1">
      <c r="A43" s="7" t="inlineStr">
        <is>
          <t>V15-MDL-009</t>
        </is>
      </c>
      <c r="B43" s="7" t="inlineStr">
        <is>
          <t>GLM适配器 - 验收</t>
        </is>
      </c>
      <c r="C43" s="12" t="inlineStr">
        <is>
          <t>Acceptance验收</t>
        </is>
      </c>
      <c r="D43" s="7" t="inlineStr">
        <is>
          <t>模型扩展</t>
        </is>
      </c>
      <c r="E43" s="11" t="inlineStr">
        <is>
          <t>P2</t>
        </is>
      </c>
      <c r="F43" s="9" t="inlineStr">
        <is>
          <t>AI工程师</t>
        </is>
      </c>
      <c r="G43" s="9" t="n">
        <v>1</v>
      </c>
      <c r="H43" s="9" t="inlineStr">
        <is>
          <t>2026-W32</t>
        </is>
      </c>
      <c r="I43" s="9" t="inlineStr">
        <is>
          <t>2026-W32</t>
        </is>
      </c>
      <c r="J43" s="7" t="inlineStr">
        <is>
          <t>V15-MDL-008</t>
        </is>
      </c>
      <c r="K43" s="6" t="inlineStr">
        <is>
          <t>未开始</t>
        </is>
      </c>
      <c r="L43" s="7" t="inlineStr">
        <is>
          <t>【目标】GLM适配器验收
【验收检查项】
□ API调用正常
□ 中文生成质量
□ 流式响应正确
【运行命令】pytest ai-service/tests/adapters/test_glm.py -v</t>
        </is>
      </c>
      <c r="M43" s="7" t="inlineStr">
        <is>
          <t>GLM适配器验收通过</t>
        </is>
      </c>
      <c r="N43" s="7" t="inlineStr"/>
    </row>
    <row r="44" ht="200" customHeight="1">
      <c r="A44" s="2" t="inlineStr">
        <is>
          <t>V15-RAG-001</t>
        </is>
      </c>
      <c r="B44" s="2" t="inlineStr">
        <is>
          <t>查询改写+交叉编码器 - 测试</t>
        </is>
      </c>
      <c r="C44" s="4" t="inlineStr">
        <is>
          <t>Red测试</t>
        </is>
      </c>
      <c r="D44" s="2" t="inlineStr">
        <is>
          <t>高级RAG</t>
        </is>
      </c>
      <c r="E44" s="10" t="inlineStr">
        <is>
          <t>P1</t>
        </is>
      </c>
      <c r="F44" s="5" t="inlineStr">
        <is>
          <t>AI工程师</t>
        </is>
      </c>
      <c r="G44" s="5" t="n">
        <v>1</v>
      </c>
      <c r="H44" s="5" t="inlineStr">
        <is>
          <t>2026-W33</t>
        </is>
      </c>
      <c r="I44" s="5" t="inlineStr">
        <is>
          <t>2026-W33</t>
        </is>
      </c>
      <c r="J44" s="2" t="inlineStr">
        <is>
          <t>MVP-RAG-006</t>
        </is>
      </c>
      <c r="K44" s="6" t="inlineStr">
        <is>
          <t>未开始</t>
        </is>
      </c>
      <c r="L44" s="2" t="inlineStr">
        <is>
          <t>【目标】编写查询改写和交叉编码器测试
【测试文件路径】ai-service/tests/services/test_advanced_rag.py
【测试用例清单】
1. test_query_rewrite：查询改写 → 生成多个查询变体
2. test_cross_encoder_rerank：交叉编码器重排序 → 相关性排序更准确
3. test_combined_retrieval：组合检索 → 效果优于基础RAG
【运行命令】pytest ai-service/tests/services/test_advanced_rag.py -v</t>
        </is>
      </c>
      <c r="M44" s="2" t="inlineStr">
        <is>
          <t>3个高级RAG测试用例通过</t>
        </is>
      </c>
      <c r="N44" s="2" t="inlineStr"/>
    </row>
    <row r="45" ht="200" customHeight="1">
      <c r="A45" s="7" t="inlineStr">
        <is>
          <t>V15-RAG-002</t>
        </is>
      </c>
      <c r="B45" s="7" t="inlineStr">
        <is>
          <t>查询改写+交叉编码器 - 实现</t>
        </is>
      </c>
      <c r="C45" s="8" t="inlineStr">
        <is>
          <t>Green实现</t>
        </is>
      </c>
      <c r="D45" s="7" t="inlineStr">
        <is>
          <t>高级RAG</t>
        </is>
      </c>
      <c r="E45" s="10" t="inlineStr">
        <is>
          <t>P1</t>
        </is>
      </c>
      <c r="F45" s="9" t="inlineStr">
        <is>
          <t>AI工程师</t>
        </is>
      </c>
      <c r="G45" s="9" t="n">
        <v>3</v>
      </c>
      <c r="H45" s="9" t="inlineStr">
        <is>
          <t>2026-W33</t>
        </is>
      </c>
      <c r="I45" s="9" t="inlineStr">
        <is>
          <t>2026-W33</t>
        </is>
      </c>
      <c r="J45" s="7" t="inlineStr">
        <is>
          <t>V15-RAG-001</t>
        </is>
      </c>
      <c r="K45" s="6" t="inlineStr">
        <is>
          <t>未开始</t>
        </is>
      </c>
      <c r="L45" s="7" t="inlineStr">
        <is>
          <t>【目标】实现查询改写和交叉编码器重排序
【源文件路径】ai-service/app/services/advanced_rag.py
【实现步骤】
1. 查询改写（Query Rewrite）：
   - 使用AI将用户查询改写为多个变体
   - 例如："描写张三的外貌" → ["张三长什么样", "描述张三的相貌特征", "张三的外貌描写"]
   - 每个变体独立检索
2. 交叉编码器重排序（Cross-Encoder Rerank）：
   - 使用cohere-rerank或自训练模型
   - 对初始检索结果进行精排
   - 输入：query + document pair
   - 输出：相关性分数
3. 组合到RAGService中替换基础检索
【运行命令】pytest ai-service/tests/services/test_advanced_rag.py -v</t>
        </is>
      </c>
      <c r="M45" s="7" t="inlineStr">
        <is>
          <t>查询改写和交叉编码器实现完成</t>
        </is>
      </c>
      <c r="N45" s="7" t="inlineStr"/>
    </row>
    <row r="46" ht="200" customHeight="1">
      <c r="A46" s="2" t="inlineStr">
        <is>
          <t>V15-RAG-003</t>
        </is>
      </c>
      <c r="B46" s="2" t="inlineStr">
        <is>
          <t>查询改写+交叉编码器 - 验收</t>
        </is>
      </c>
      <c r="C46" s="12" t="inlineStr">
        <is>
          <t>Acceptance验收</t>
        </is>
      </c>
      <c r="D46" s="2" t="inlineStr">
        <is>
          <t>高级RAG</t>
        </is>
      </c>
      <c r="E46" s="10" t="inlineStr">
        <is>
          <t>P1</t>
        </is>
      </c>
      <c r="F46" s="5" t="inlineStr">
        <is>
          <t>AI工程师</t>
        </is>
      </c>
      <c r="G46" s="5" t="n">
        <v>1</v>
      </c>
      <c r="H46" s="5" t="inlineStr">
        <is>
          <t>2026-W33</t>
        </is>
      </c>
      <c r="I46" s="5" t="inlineStr">
        <is>
          <t>2026-W33</t>
        </is>
      </c>
      <c r="J46" s="2" t="inlineStr">
        <is>
          <t>V15-RAG-002</t>
        </is>
      </c>
      <c r="K46" s="6" t="inlineStr">
        <is>
          <t>未开始</t>
        </is>
      </c>
      <c r="L46" s="2" t="inlineStr">
        <is>
          <t>【目标】高级RAG验收
【测试场景】
1. 查询改写 → 多个变体合理
2. 交叉编码器 → 重排序更准确
3. 组合检索 → Top-5准确率提升≥10%
【验收检查项】
□ 查询改写合理
□ 重排序准确
□ 检索效果提升
【运行命令】pytest ai-service/tests/services/test_advanced_rag.py -v</t>
        </is>
      </c>
      <c r="M46" s="2" t="inlineStr">
        <is>
          <t>高级RAG验收通过</t>
        </is>
      </c>
      <c r="N46" s="2" t="inlineStr"/>
    </row>
    <row r="47" ht="200" customHeight="1">
      <c r="A47" s="7" t="inlineStr">
        <is>
          <t>V15-RAG-004</t>
        </is>
      </c>
      <c r="B47" s="7" t="inlineStr">
        <is>
          <t>高级RAG上下文管理 - 测试</t>
        </is>
      </c>
      <c r="C47" s="4" t="inlineStr">
        <is>
          <t>Red测试</t>
        </is>
      </c>
      <c r="D47" s="7" t="inlineStr">
        <is>
          <t>高级RAG</t>
        </is>
      </c>
      <c r="E47" s="10" t="inlineStr">
        <is>
          <t>P1</t>
        </is>
      </c>
      <c r="F47" s="9" t="inlineStr">
        <is>
          <t>AI工程师</t>
        </is>
      </c>
      <c r="G47" s="9" t="n">
        <v>1</v>
      </c>
      <c r="H47" s="9" t="inlineStr">
        <is>
          <t>2026-W33</t>
        </is>
      </c>
      <c r="I47" s="9" t="inlineStr">
        <is>
          <t>2026-W33</t>
        </is>
      </c>
      <c r="J47" s="7" t="inlineStr">
        <is>
          <t>V15-RAG-002</t>
        </is>
      </c>
      <c r="K47" s="6" t="inlineStr">
        <is>
          <t>未开始</t>
        </is>
      </c>
      <c r="L47" s="7" t="inlineStr">
        <is>
          <t>【目标】编写高级RAG上下文管理测试
【测试文件路径】ai-service/tests/services/test_rag_context.py
【测试用例清单】
1. test_context_compression：上下文压缩 → 保留关键信息
2. test_context_priority：上下文优先级管理
3. test_long_context_handling：长上下文处理（&gt;100K tokens）
【运行命令】pytest ai-service/tests/services/test_rag_context.py -v</t>
        </is>
      </c>
      <c r="M47" s="7" t="inlineStr">
        <is>
          <t>3个上下文管理测试用例通过</t>
        </is>
      </c>
      <c r="N47" s="7" t="inlineStr"/>
    </row>
    <row r="48" ht="200" customHeight="1">
      <c r="A48" s="2" t="inlineStr">
        <is>
          <t>V15-RAG-005</t>
        </is>
      </c>
      <c r="B48" s="2" t="inlineStr">
        <is>
          <t>高级RAG上下文管理 - 实现</t>
        </is>
      </c>
      <c r="C48" s="8" t="inlineStr">
        <is>
          <t>Green实现</t>
        </is>
      </c>
      <c r="D48" s="2" t="inlineStr">
        <is>
          <t>高级RAG</t>
        </is>
      </c>
      <c r="E48" s="10" t="inlineStr">
        <is>
          <t>P1</t>
        </is>
      </c>
      <c r="F48" s="5" t="inlineStr">
        <is>
          <t>AI工程师</t>
        </is>
      </c>
      <c r="G48" s="5" t="n">
        <v>2</v>
      </c>
      <c r="H48" s="5" t="inlineStr">
        <is>
          <t>2026-W33</t>
        </is>
      </c>
      <c r="I48" s="5" t="inlineStr">
        <is>
          <t>2026-W33</t>
        </is>
      </c>
      <c r="J48" s="2" t="inlineStr">
        <is>
          <t>V15-RAG-004</t>
        </is>
      </c>
      <c r="K48" s="6" t="inlineStr">
        <is>
          <t>未开始</t>
        </is>
      </c>
      <c r="L48" s="2" t="inlineStr">
        <is>
          <t>【目标】实现高级RAG上下文管理
【源文件路径】ai-service/app/services/rag_context_manager.py
【实现步骤】
1. 上下文压缩：使用AI摘要压缩长文本
2. 优先级管理：动态调整各部分上下文权重
3. 长上下文处理：支持&gt;100K tokens的上下文窗口
4. 滑动窗口：对超长作品使用滑动窗口策略
【运行命令】pytest ai-service/tests/services/test_rag_context.py -v</t>
        </is>
      </c>
      <c r="M48" s="2" t="inlineStr">
        <is>
          <t>高级RAG上下文管理实现完成</t>
        </is>
      </c>
      <c r="N48" s="2" t="inlineStr"/>
    </row>
    <row r="49" ht="200" customHeight="1">
      <c r="A49" s="7" t="inlineStr">
        <is>
          <t>V15-RAG-006</t>
        </is>
      </c>
      <c r="B49" s="7" t="inlineStr">
        <is>
          <t>高级RAG上下文管理 - 验收</t>
        </is>
      </c>
      <c r="C49" s="12" t="inlineStr">
        <is>
          <t>Acceptance验收</t>
        </is>
      </c>
      <c r="D49" s="7" t="inlineStr">
        <is>
          <t>高级RAG</t>
        </is>
      </c>
      <c r="E49" s="10" t="inlineStr">
        <is>
          <t>P1</t>
        </is>
      </c>
      <c r="F49" s="9" t="inlineStr">
        <is>
          <t>AI工程师</t>
        </is>
      </c>
      <c r="G49" s="9" t="n">
        <v>1</v>
      </c>
      <c r="H49" s="9" t="inlineStr">
        <is>
          <t>2026-W33</t>
        </is>
      </c>
      <c r="I49" s="9" t="inlineStr">
        <is>
          <t>2026-W33</t>
        </is>
      </c>
      <c r="J49" s="7" t="inlineStr">
        <is>
          <t>V15-RAG-005</t>
        </is>
      </c>
      <c r="K49" s="6" t="inlineStr">
        <is>
          <t>未开始</t>
        </is>
      </c>
      <c r="L49" s="7" t="inlineStr">
        <is>
          <t>【目标】高级RAG上下文管理验收
【验收检查项】
□ 上下文压缩保留关键信息
□ 优先级管理合理
□ 长上下文处理正常
【运行命令】pytest ai-service/tests/services/test_rag_context.py -v</t>
        </is>
      </c>
      <c r="M49" s="7" t="inlineStr">
        <is>
          <t>高级RAG上下文管理验收通过</t>
        </is>
      </c>
      <c r="N49" s="7" t="inlineStr"/>
    </row>
    <row r="50" ht="200" customHeight="1">
      <c r="A50" s="2" t="inlineStr">
        <is>
          <t>V15-FRK-001</t>
        </is>
      </c>
      <c r="B50" s="2" t="inlineStr">
        <is>
          <t>Activity Bar定制 - 测试</t>
        </is>
      </c>
      <c r="C50" s="4" t="inlineStr">
        <is>
          <t>Red测试</t>
        </is>
      </c>
      <c r="D50" s="2" t="inlineStr">
        <is>
          <t>中度Fork</t>
        </is>
      </c>
      <c r="E50" s="10" t="inlineStr">
        <is>
          <t>P1</t>
        </is>
      </c>
      <c r="F50" s="5" t="inlineStr">
        <is>
          <t>前端</t>
        </is>
      </c>
      <c r="G50" s="5" t="n">
        <v>1</v>
      </c>
      <c r="H50" s="5" t="inlineStr">
        <is>
          <t>2026-W34</t>
        </is>
      </c>
      <c r="I50" s="5" t="inlineStr">
        <is>
          <t>2026-W34</t>
        </is>
      </c>
      <c r="J50" s="2" t="inlineStr">
        <is>
          <t>MVP-CLI-005</t>
        </is>
      </c>
      <c r="K50" s="6" t="inlineStr">
        <is>
          <t>未开始</t>
        </is>
      </c>
      <c r="L50" s="2" t="inlineStr">
        <is>
          <t>【目标】编写Activity Bar定制测试
【测试文件路径】extensions/dw-core/__tests__/ActivityBar.test.ts
【测试用例清单】
1. test_custom_icons：自定义图标显示正确
2. test_writing_icons：写作场景特有图标
3. test_active_state_style：活跃状态样式
【运行命令】npx vitest run extensions/dw-core/__tests__/ActivityBar.test.ts</t>
        </is>
      </c>
      <c r="M50" s="2" t="inlineStr">
        <is>
          <t>3个Activity Bar测试用例通过</t>
        </is>
      </c>
      <c r="N50" s="2" t="inlineStr"/>
    </row>
    <row r="51" ht="200" customHeight="1">
      <c r="A51" s="7" t="inlineStr">
        <is>
          <t>V15-FRK-002</t>
        </is>
      </c>
      <c r="B51" s="7" t="inlineStr">
        <is>
          <t>Activity Bar定制 - 实现</t>
        </is>
      </c>
      <c r="C51" s="8" t="inlineStr">
        <is>
          <t>Green实现</t>
        </is>
      </c>
      <c r="D51" s="7" t="inlineStr">
        <is>
          <t>中度Fork</t>
        </is>
      </c>
      <c r="E51" s="10" t="inlineStr">
        <is>
          <t>P1</t>
        </is>
      </c>
      <c r="F51" s="9" t="inlineStr">
        <is>
          <t>前端</t>
        </is>
      </c>
      <c r="G51" s="9" t="n">
        <v>2</v>
      </c>
      <c r="H51" s="9" t="inlineStr">
        <is>
          <t>2026-W34</t>
        </is>
      </c>
      <c r="I51" s="9" t="inlineStr">
        <is>
          <t>2026-W34</t>
        </is>
      </c>
      <c r="J51" s="7" t="inlineStr">
        <is>
          <t>V15-FRK-001</t>
        </is>
      </c>
      <c r="K51" s="6" t="inlineStr">
        <is>
          <t>未开始</t>
        </is>
      </c>
      <c r="L51" s="7" t="inlineStr">
        <is>
          <t>【目标】定制Activity Bar布局和样式
【源文件路径】src/vs/workbench/contrib/activitybar/
【实现步骤】
1. 修改Activity Bar布局：
   - 调整图标大小和间距
   - 添加写作场景特有图标（大纲/分支/知识库/AI/统计）
2. 自定义图标：
   - 使用SVG图标替换默认图标
   - 添加hover动画效果
3. 修改活跃状态样式：
   - 自定义高亮颜色
   - 添加指示器样式
【运行命令】yarn watch &amp;&amp; yarn electron</t>
        </is>
      </c>
      <c r="M51" s="7" t="inlineStr">
        <is>
          <t>Activity Bar定制完成</t>
        </is>
      </c>
      <c r="N51" s="7" t="inlineStr"/>
    </row>
    <row r="52" ht="200" customHeight="1">
      <c r="A52" s="2" t="inlineStr">
        <is>
          <t>V15-FRK-003</t>
        </is>
      </c>
      <c r="B52" s="2" t="inlineStr">
        <is>
          <t>Activity Bar定制 - 验收</t>
        </is>
      </c>
      <c r="C52" s="12" t="inlineStr">
        <is>
          <t>Acceptance验收</t>
        </is>
      </c>
      <c r="D52" s="2" t="inlineStr">
        <is>
          <t>中度Fork</t>
        </is>
      </c>
      <c r="E52" s="10" t="inlineStr">
        <is>
          <t>P1</t>
        </is>
      </c>
      <c r="F52" s="5" t="inlineStr">
        <is>
          <t>前端</t>
        </is>
      </c>
      <c r="G52" s="5" t="n">
        <v>1</v>
      </c>
      <c r="H52" s="5" t="inlineStr">
        <is>
          <t>2026-W34</t>
        </is>
      </c>
      <c r="I52" s="5" t="inlineStr">
        <is>
          <t>2026-W34</t>
        </is>
      </c>
      <c r="J52" s="2" t="inlineStr">
        <is>
          <t>V15-FRK-002</t>
        </is>
      </c>
      <c r="K52" s="6" t="inlineStr">
        <is>
          <t>未开始</t>
        </is>
      </c>
      <c r="L52" s="2" t="inlineStr">
        <is>
          <t>【目标】Activity Bar定制验收
【验收检查项】
□ 自定义图标正确
□ 写作场景图标显示
□ 活跃状态样式正确
□ hover动画流畅
【运行命令】yarn watch &amp;&amp; yarn electron</t>
        </is>
      </c>
      <c r="M52" s="2" t="inlineStr">
        <is>
          <t>Activity Bar定制验收通过</t>
        </is>
      </c>
      <c r="N52" s="2" t="inlineStr"/>
    </row>
    <row r="53" ht="200" customHeight="1">
      <c r="A53" s="7" t="inlineStr">
        <is>
          <t>V15-FRK-004</t>
        </is>
      </c>
      <c r="B53" s="7" t="inlineStr">
        <is>
          <t>Monaco写作配置 - 测试</t>
        </is>
      </c>
      <c r="C53" s="4" t="inlineStr">
        <is>
          <t>Red测试</t>
        </is>
      </c>
      <c r="D53" s="7" t="inlineStr">
        <is>
          <t>中度Fork</t>
        </is>
      </c>
      <c r="E53" s="10" t="inlineStr">
        <is>
          <t>P1</t>
        </is>
      </c>
      <c r="F53" s="9" t="inlineStr">
        <is>
          <t>前端</t>
        </is>
      </c>
      <c r="G53" s="9" t="n">
        <v>1</v>
      </c>
      <c r="H53" s="9" t="inlineStr">
        <is>
          <t>2026-W34</t>
        </is>
      </c>
      <c r="I53" s="9" t="inlineStr">
        <is>
          <t>2026-W34</t>
        </is>
      </c>
      <c r="J53" s="7" t="inlineStr"/>
      <c r="K53" s="6" t="inlineStr">
        <is>
          <t>未开始</t>
        </is>
      </c>
      <c r="L53" s="7" t="inlineStr">
        <is>
          <t>【目标】编写Monaco编辑器写作配置测试
【测试文件路径】extensions/dw-core/__tests__/EditorConfig.test.ts
【测试用例清单】
1. test_default_font：默认字体Noto Serif SC 16px
2. test_line_height：行高1.8
3. test_max_line_width：最大行宽700px
4. test_auto_save_interval：自动保存间隔
【运行命令】npx vitest run extensions/dw-core/__tests__/EditorConfig.test.ts</t>
        </is>
      </c>
      <c r="M53" s="7" t="inlineStr">
        <is>
          <t>4个编辑器配置测试用例通过</t>
        </is>
      </c>
      <c r="N53" s="7" t="inlineStr"/>
    </row>
    <row r="54" ht="200" customHeight="1">
      <c r="A54" s="2" t="inlineStr">
        <is>
          <t>V15-FRK-005</t>
        </is>
      </c>
      <c r="B54" s="2" t="inlineStr">
        <is>
          <t>Monaco写作配置 - 实现</t>
        </is>
      </c>
      <c r="C54" s="8" t="inlineStr">
        <is>
          <t>Green实现</t>
        </is>
      </c>
      <c r="D54" s="2" t="inlineStr">
        <is>
          <t>中度Fork</t>
        </is>
      </c>
      <c r="E54" s="10" t="inlineStr">
        <is>
          <t>P1</t>
        </is>
      </c>
      <c r="F54" s="5" t="inlineStr">
        <is>
          <t>前端</t>
        </is>
      </c>
      <c r="G54" s="5" t="n">
        <v>2</v>
      </c>
      <c r="H54" s="5" t="inlineStr">
        <is>
          <t>2026-W34</t>
        </is>
      </c>
      <c r="I54" s="5" t="inlineStr">
        <is>
          <t>2026-W34</t>
        </is>
      </c>
      <c r="J54" s="2" t="inlineStr">
        <is>
          <t>V15-FRK-004</t>
        </is>
      </c>
      <c r="K54" s="6" t="inlineStr">
        <is>
          <t>未开始</t>
        </is>
      </c>
      <c r="L54" s="2" t="inlineStr">
        <is>
          <t>【目标】自定义Monaco编辑器写作配置
【源文件路径】extensions/dw-core/src/EditorConfig.ts
【实现步骤】
1. 默认编辑器配置：
   - 字体：Noto Serif SC, 16px
   - 行高：1.8
   - 最大行宽：700px（居中显示）
   - 自动保存间隔：30秒
   - 禁用自动换行（或软换行）
   - 隐藏行号（可选）
   - 隐藏minimap
2. 写作模式：
   - 专注模式（隐藏侧边栏和面板）
   - 打字机模式（光标始终居中）
   - 翻页模式（章节间翻页）
【运行命令】npx vitest run extensions/dw-core/__tests__/EditorConfig.test.ts</t>
        </is>
      </c>
      <c r="M54" s="2" t="inlineStr">
        <is>
          <t>Monaco写作配置实现完成</t>
        </is>
      </c>
      <c r="N54" s="2" t="inlineStr"/>
    </row>
    <row r="55" ht="200" customHeight="1">
      <c r="A55" s="7" t="inlineStr">
        <is>
          <t>V15-FRK-006</t>
        </is>
      </c>
      <c r="B55" s="7" t="inlineStr">
        <is>
          <t>Monaco写作配置 - 验收</t>
        </is>
      </c>
      <c r="C55" s="12" t="inlineStr">
        <is>
          <t>Acceptance验收</t>
        </is>
      </c>
      <c r="D55" s="7" t="inlineStr">
        <is>
          <t>中度Fork</t>
        </is>
      </c>
      <c r="E55" s="10" t="inlineStr">
        <is>
          <t>P1</t>
        </is>
      </c>
      <c r="F55" s="9" t="inlineStr">
        <is>
          <t>前端</t>
        </is>
      </c>
      <c r="G55" s="9" t="n">
        <v>1</v>
      </c>
      <c r="H55" s="9" t="inlineStr">
        <is>
          <t>2026-W34</t>
        </is>
      </c>
      <c r="I55" s="9" t="inlineStr">
        <is>
          <t>2026-W34</t>
        </is>
      </c>
      <c r="J55" s="7" t="inlineStr">
        <is>
          <t>V15-FRK-005</t>
        </is>
      </c>
      <c r="K55" s="6" t="inlineStr">
        <is>
          <t>未开始</t>
        </is>
      </c>
      <c r="L55" s="7" t="inlineStr">
        <is>
          <t>【目标】Monaco写作配置验收
【验收检查项】
□ 字体和行高正确
□ 最大行宽700px居中
□ 自动保存30秒
□ 专注模式可用
□ 打字机模式可用
【运行命令】yarn watch &amp;&amp; yarn electron</t>
        </is>
      </c>
      <c r="M55" s="7" t="inlineStr">
        <is>
          <t>Monaco写作配置验收通过</t>
        </is>
      </c>
      <c r="N55" s="7" t="inlineStr"/>
    </row>
    <row r="56" ht="200" customHeight="1">
      <c r="A56" s="2" t="inlineStr">
        <is>
          <t>V15-FRK-007</t>
        </is>
      </c>
      <c r="B56" s="2" t="inlineStr">
        <is>
          <t>写作专用Extension API - 测试</t>
        </is>
      </c>
      <c r="C56" s="4" t="inlineStr">
        <is>
          <t>Red测试</t>
        </is>
      </c>
      <c r="D56" s="2" t="inlineStr">
        <is>
          <t>中度Fork</t>
        </is>
      </c>
      <c r="E56" s="10" t="inlineStr">
        <is>
          <t>P1</t>
        </is>
      </c>
      <c r="F56" s="5" t="inlineStr">
        <is>
          <t>前端</t>
        </is>
      </c>
      <c r="G56" s="5" t="n">
        <v>1</v>
      </c>
      <c r="H56" s="5" t="inlineStr">
        <is>
          <t>2026-W35</t>
        </is>
      </c>
      <c r="I56" s="5" t="inlineStr">
        <is>
          <t>2026-W35</t>
        </is>
      </c>
      <c r="J56" s="2" t="inlineStr"/>
      <c r="K56" s="6" t="inlineStr">
        <is>
          <t>未开始</t>
        </is>
      </c>
      <c r="L56" s="2" t="inlineStr">
        <is>
          <t>【目标】编写写作专用Extension API测试
【测试文件路径】extensions/dw-core/__tests__/DreamweaverAPI.test.ts
【测试用例清单】
1. test_getAvailableModels：获取可用模型列表
2. test_continueWriting：续写API
3. test_checkConsistency：一致性检查API
4. test_getBranches：获取分支列表
【运行命令】npx vitest run extensions/dw-core/__tests__/DreamweaverAPI.test.ts</t>
        </is>
      </c>
      <c r="M56" s="2" t="inlineStr">
        <is>
          <t>4个Extension API测试用例通过</t>
        </is>
      </c>
      <c r="N56" s="2" t="inlineStr"/>
    </row>
    <row r="57" ht="200" customHeight="1">
      <c r="A57" s="7" t="inlineStr">
        <is>
          <t>V15-FRK-008</t>
        </is>
      </c>
      <c r="B57" s="7" t="inlineStr">
        <is>
          <t>写作专用Extension API - 实现</t>
        </is>
      </c>
      <c r="C57" s="8" t="inlineStr">
        <is>
          <t>Green实现</t>
        </is>
      </c>
      <c r="D57" s="7" t="inlineStr">
        <is>
          <t>中度Fork</t>
        </is>
      </c>
      <c r="E57" s="10" t="inlineStr">
        <is>
          <t>P1</t>
        </is>
      </c>
      <c r="F57" s="9" t="inlineStr">
        <is>
          <t>前端</t>
        </is>
      </c>
      <c r="G57" s="9" t="n">
        <v>3</v>
      </c>
      <c r="H57" s="9" t="inlineStr">
        <is>
          <t>2026-W35</t>
        </is>
      </c>
      <c r="I57" s="9" t="inlineStr">
        <is>
          <t>2026-W35</t>
        </is>
      </c>
      <c r="J57" s="7" t="inlineStr">
        <is>
          <t>V15-FRK-007</t>
        </is>
      </c>
      <c r="K57" s="6" t="inlineStr">
        <is>
          <t>未开始</t>
        </is>
      </c>
      <c r="L57" s="7" t="inlineStr">
        <is>
          <t>【目标】实现写作专用Extension API
【源文件路径】src/vscode.proposed.dreamweaver.d.ts, extensions/dw-core/src/api/
【实现步骤】
1. 在vscode.proposed.dreamweaver.d.ts中定义API：
   - vscode.dreamweaver.getAvailableModels(): Promise&lt;ModelInfo[]&gt;
   - vscode.dreamweaver.continueWriting(options): Promise&lt;string&gt;
   - vscode.dreamweaver.checkConsistency(workId): Promise&lt;ConsistencyResult&gt;
   - vscode.dreamweaver.getBranches(workId): Promise&lt;Branch[]&gt;
   - vscode.dreamweaver.getStoryBible(workId): Promise&lt;BibleEntry[]&gt;
2. 实现ExtHost侧（src/vs/workbench/api/）
3. 实现Main Thread侧（src/vs/workbench/services/）
4. 注册到Extension API
【运行命令】npx vitest run extensions/dw-core/__tests__/DreamweaverAPI.test.ts</t>
        </is>
      </c>
      <c r="M57" s="7" t="inlineStr">
        <is>
          <t>写作专用Extension API实现完成</t>
        </is>
      </c>
      <c r="N57" s="7" t="inlineStr"/>
    </row>
    <row r="58" ht="200" customHeight="1">
      <c r="A58" s="2" t="inlineStr">
        <is>
          <t>V15-FRK-009</t>
        </is>
      </c>
      <c r="B58" s="2" t="inlineStr">
        <is>
          <t>写作专用Extension API - 验收</t>
        </is>
      </c>
      <c r="C58" s="12" t="inlineStr">
        <is>
          <t>Acceptance验收</t>
        </is>
      </c>
      <c r="D58" s="2" t="inlineStr">
        <is>
          <t>中度Fork</t>
        </is>
      </c>
      <c r="E58" s="10" t="inlineStr">
        <is>
          <t>P1</t>
        </is>
      </c>
      <c r="F58" s="5" t="inlineStr">
        <is>
          <t>前端</t>
        </is>
      </c>
      <c r="G58" s="5" t="n">
        <v>1</v>
      </c>
      <c r="H58" s="5" t="inlineStr">
        <is>
          <t>2026-W35</t>
        </is>
      </c>
      <c r="I58" s="5" t="inlineStr">
        <is>
          <t>2026-W35</t>
        </is>
      </c>
      <c r="J58" s="2" t="inlineStr">
        <is>
          <t>V15-FRK-008</t>
        </is>
      </c>
      <c r="K58" s="6" t="inlineStr">
        <is>
          <t>未开始</t>
        </is>
      </c>
      <c r="L58" s="2" t="inlineStr">
        <is>
          <t>【目标】写作专用Extension API验收
【测试场景】
1. Extension调用getAvailableModels → 返回模型列表
2. 调用continueWriting → 返回续写结果
3. 调用checkConsistency → 返回检查结果
【验收检查项】
□ API定义正确
□ ExtHost实现正确
□ Main Thread实现正确
□ Extension可正常调用
【运行命令】yarn watch &amp;&amp; yarn electron</t>
        </is>
      </c>
      <c r="M58" s="2" t="inlineStr">
        <is>
          <t>写作专用Extension API验收通过</t>
        </is>
      </c>
      <c r="N58" s="2" t="inlineStr"/>
    </row>
  </sheetData>
  <autoFilter ref="A1:N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V20-TPL-001</t>
        </is>
      </c>
      <c r="B2" s="2" t="inlineStr">
        <is>
          <t>模板CRUD API - 测试</t>
        </is>
      </c>
      <c r="C2" s="4" t="inlineStr">
        <is>
          <t>Red测试</t>
        </is>
      </c>
      <c r="D2" s="2" t="inlineStr">
        <is>
          <t>模板市场</t>
        </is>
      </c>
      <c r="E2" s="11" t="inlineStr">
        <is>
          <t>P2</t>
        </is>
      </c>
      <c r="F2" s="5" t="inlineStr">
        <is>
          <t>后端</t>
        </is>
      </c>
      <c r="G2" s="5" t="n">
        <v>1</v>
      </c>
      <c r="H2" s="5" t="inlineStr">
        <is>
          <t>2026-W36</t>
        </is>
      </c>
      <c r="I2" s="5" t="inlineStr">
        <is>
          <t>2026-W36</t>
        </is>
      </c>
      <c r="J2" s="2" t="inlineStr"/>
      <c r="K2" s="6" t="inlineStr">
        <is>
          <t>未开始</t>
        </is>
      </c>
      <c r="L2" s="2" t="inlineStr">
        <is>
          <t>【目标】编写模板CRUD API测试
【测试框架】pytest + httpx
【测试文件路径】server/service/template-service/tests/test_template_api.py
【测试用例清单】
1. test_create_template：创建模板 → 201
2. test_get_template：获取模板 → 200
3. test_update_template：更新模板 → 200
4. test_delete_template：删除模板 → 204
5. test_list_templates：模板列表 → 200 + 分页
6. test_template_categories：分类筛选 → 正确过滤
【运行命令】pytest server/service/template-service/tests/test_template_api.py -v</t>
        </is>
      </c>
      <c r="M2" s="2" t="inlineStr">
        <is>
          <t>6个模板API测试用例通过</t>
        </is>
      </c>
      <c r="N2" s="2" t="inlineStr"/>
    </row>
    <row r="3" ht="200" customHeight="1">
      <c r="A3" s="7" t="inlineStr">
        <is>
          <t>V20-TPL-002</t>
        </is>
      </c>
      <c r="B3" s="7" t="inlineStr">
        <is>
          <t>模板CRUD API - 实现</t>
        </is>
      </c>
      <c r="C3" s="8" t="inlineStr">
        <is>
          <t>Green实现</t>
        </is>
      </c>
      <c r="D3" s="7" t="inlineStr">
        <is>
          <t>模板市场</t>
        </is>
      </c>
      <c r="E3" s="11" t="inlineStr">
        <is>
          <t>P2</t>
        </is>
      </c>
      <c r="F3" s="9" t="inlineStr">
        <is>
          <t>后端</t>
        </is>
      </c>
      <c r="G3" s="9" t="n">
        <v>2</v>
      </c>
      <c r="H3" s="9" t="inlineStr">
        <is>
          <t>2026-W36</t>
        </is>
      </c>
      <c r="I3" s="9" t="inlineStr">
        <is>
          <t>2026-W36</t>
        </is>
      </c>
      <c r="J3" s="7" t="inlineStr">
        <is>
          <t>V20-TPL-001</t>
        </is>
      </c>
      <c r="K3" s="6" t="inlineStr">
        <is>
          <t>未开始</t>
        </is>
      </c>
      <c r="L3" s="7" t="inlineStr">
        <is>
          <t>【目标】实现模板CRUD API
【源文件路径】server/service/template-service/
【API端点】
- POST /templates → 创建模板
- GET /templates → 列表（分页+分类筛选+排序）
- GET /templates/:id → 获取详情
- PUT /templates/:id → 更新
- DELETE /templates/:id → 删除
- POST /templates/:id/clone → 克隆模板
【数据模型】
- templates: { id, author_id, name, description, category, genre, structure_json, settings_json, is_public, download_count, rating, created_at, updated_at }
【实现步骤】
1. CRUD操作
2. 分类筛选（玄幻/都市/科幻/言情/历史/悬疑/其他）
3. 排序（热门/最新/评分）
4. 克隆功能
【运行命令】pytest server/service/template-service/tests/test_template_api.py -v</t>
        </is>
      </c>
      <c r="M3" s="7" t="inlineStr">
        <is>
          <t>模板CRUD API实现完成</t>
        </is>
      </c>
      <c r="N3" s="7" t="inlineStr"/>
    </row>
    <row r="4" ht="200" customHeight="1">
      <c r="A4" s="2" t="inlineStr">
        <is>
          <t>V20-TPL-003</t>
        </is>
      </c>
      <c r="B4" s="2" t="inlineStr">
        <is>
          <t>模板CRUD API - 验收</t>
        </is>
      </c>
      <c r="C4" s="12" t="inlineStr">
        <is>
          <t>Acceptance验收</t>
        </is>
      </c>
      <c r="D4" s="2" t="inlineStr">
        <is>
          <t>模板市场</t>
        </is>
      </c>
      <c r="E4" s="11" t="inlineStr">
        <is>
          <t>P2</t>
        </is>
      </c>
      <c r="F4" s="5" t="inlineStr">
        <is>
          <t>后端</t>
        </is>
      </c>
      <c r="G4" s="5" t="n">
        <v>1</v>
      </c>
      <c r="H4" s="5" t="inlineStr">
        <is>
          <t>2026-W36</t>
        </is>
      </c>
      <c r="I4" s="5" t="inlineStr">
        <is>
          <t>2026-W36</t>
        </is>
      </c>
      <c r="J4" s="2" t="inlineStr">
        <is>
          <t>V20-TPL-002</t>
        </is>
      </c>
      <c r="K4" s="6" t="inlineStr">
        <is>
          <t>未开始</t>
        </is>
      </c>
      <c r="L4" s="2" t="inlineStr">
        <is>
          <t>【目标】模板CRUD API验收
【验收检查项】
□ CRUD完整
□ 分类筛选正确
□ 排序正确
□ 克隆功能正常
【运行命令】pytest server/service/template-service/tests/test_template_api.py -v</t>
        </is>
      </c>
      <c r="M4" s="2" t="inlineStr">
        <is>
          <t>模板CRUD API验收通过</t>
        </is>
      </c>
      <c r="N4" s="2" t="inlineStr"/>
    </row>
    <row r="5" ht="200" customHeight="1">
      <c r="A5" s="7" t="inlineStr">
        <is>
          <t>V20-TPL-004</t>
        </is>
      </c>
      <c r="B5" s="7" t="inlineStr">
        <is>
          <t>模板浏览搜索 - 测试</t>
        </is>
      </c>
      <c r="C5" s="4" t="inlineStr">
        <is>
          <t>Red测试</t>
        </is>
      </c>
      <c r="D5" s="7" t="inlineStr">
        <is>
          <t>模板市场</t>
        </is>
      </c>
      <c r="E5" s="11" t="inlineStr">
        <is>
          <t>P2</t>
        </is>
      </c>
      <c r="F5" s="9" t="inlineStr">
        <is>
          <t>后端</t>
        </is>
      </c>
      <c r="G5" s="9" t="n">
        <v>1</v>
      </c>
      <c r="H5" s="9" t="inlineStr">
        <is>
          <t>2026-W36</t>
        </is>
      </c>
      <c r="I5" s="9" t="inlineStr">
        <is>
          <t>2026-W36</t>
        </is>
      </c>
      <c r="J5" s="7" t="inlineStr">
        <is>
          <t>V20-TPL-002</t>
        </is>
      </c>
      <c r="K5" s="6" t="inlineStr">
        <is>
          <t>未开始</t>
        </is>
      </c>
      <c r="L5" s="7" t="inlineStr">
        <is>
          <t>【目标】编写模板搜索测试
【测试文件路径】server/service/template-service/tests/test_template_search.py
【测试用例清单】
1. test_fulltext_search：全文搜索 → 返回匹配
2. test_tag_search：标签搜索 → 正确过滤
3. test_genre_filter：类型筛选 → 正确
4. test_sort_by_rating：按评分排序 → 正确
【运行命令】pytest server/service/template-service/tests/test_template_search.py -v</t>
        </is>
      </c>
      <c r="M5" s="7" t="inlineStr">
        <is>
          <t>4个模板搜索测试用例通过</t>
        </is>
      </c>
      <c r="N5" s="7" t="inlineStr"/>
    </row>
    <row r="6" ht="200" customHeight="1">
      <c r="A6" s="2" t="inlineStr">
        <is>
          <t>V20-TPL-005</t>
        </is>
      </c>
      <c r="B6" s="2" t="inlineStr">
        <is>
          <t>模板浏览搜索 - 实现</t>
        </is>
      </c>
      <c r="C6" s="8" t="inlineStr">
        <is>
          <t>Green实现</t>
        </is>
      </c>
      <c r="D6" s="2" t="inlineStr">
        <is>
          <t>模板市场</t>
        </is>
      </c>
      <c r="E6" s="11" t="inlineStr">
        <is>
          <t>P2</t>
        </is>
      </c>
      <c r="F6" s="5" t="inlineStr">
        <is>
          <t>后端</t>
        </is>
      </c>
      <c r="G6" s="5" t="n">
        <v>2</v>
      </c>
      <c r="H6" s="5" t="inlineStr">
        <is>
          <t>2026-W36</t>
        </is>
      </c>
      <c r="I6" s="5" t="inlineStr">
        <is>
          <t>2026-W36</t>
        </is>
      </c>
      <c r="J6" s="2" t="inlineStr">
        <is>
          <t>V20-TPL-004</t>
        </is>
      </c>
      <c r="K6" s="6" t="inlineStr">
        <is>
          <t>未开始</t>
        </is>
      </c>
      <c r="L6" s="2" t="inlineStr">
        <is>
          <t>【目标】实现模板搜索功能
【源文件路径】server/service/template-service/internal/search.go
【实现步骤】
1. Elasticsearch全文搜索（名称+描述+标签）
2. 标签搜索
3. 类型筛选
4. 多维排序（热门/最新/评分/下载量）
5. 搜索建议（自动补全）
【运行命令】pytest server/service/template-service/tests/test_template_search.py -v</t>
        </is>
      </c>
      <c r="M6" s="2" t="inlineStr">
        <is>
          <t>模板搜索实现完成</t>
        </is>
      </c>
      <c r="N6" s="2" t="inlineStr"/>
    </row>
    <row r="7" ht="200" customHeight="1">
      <c r="A7" s="7" t="inlineStr">
        <is>
          <t>V20-TPL-006</t>
        </is>
      </c>
      <c r="B7" s="7" t="inlineStr">
        <is>
          <t>模板浏览搜索 - 验收</t>
        </is>
      </c>
      <c r="C7" s="12" t="inlineStr">
        <is>
          <t>Acceptance验收</t>
        </is>
      </c>
      <c r="D7" s="7" t="inlineStr">
        <is>
          <t>模板市场</t>
        </is>
      </c>
      <c r="E7" s="11" t="inlineStr">
        <is>
          <t>P2</t>
        </is>
      </c>
      <c r="F7" s="9" t="inlineStr">
        <is>
          <t>后端</t>
        </is>
      </c>
      <c r="G7" s="9" t="n">
        <v>1</v>
      </c>
      <c r="H7" s="9" t="inlineStr">
        <is>
          <t>2026-W36</t>
        </is>
      </c>
      <c r="I7" s="9" t="inlineStr">
        <is>
          <t>2026-W36</t>
        </is>
      </c>
      <c r="J7" s="7" t="inlineStr">
        <is>
          <t>V20-TPL-005</t>
        </is>
      </c>
      <c r="K7" s="6" t="inlineStr">
        <is>
          <t>未开始</t>
        </is>
      </c>
      <c r="L7" s="7" t="inlineStr">
        <is>
          <t>【目标】模板搜索验收
【验收检查项】
□ 全文搜索准确
□ 标签搜索正确
□ 排序正确
□ 搜索建议可用
【运行命令】pytest server/service/template-service/tests/test_template_search.py -v</t>
        </is>
      </c>
      <c r="M7" s="7" t="inlineStr">
        <is>
          <t>模板搜索验收通过</t>
        </is>
      </c>
      <c r="N7" s="7" t="inlineStr"/>
    </row>
    <row r="8" ht="200" customHeight="1">
      <c r="A8" s="2" t="inlineStr">
        <is>
          <t>V20-TPL-007</t>
        </is>
      </c>
      <c r="B8" s="2" t="inlineStr">
        <is>
          <t>模板创建向导 - 测试</t>
        </is>
      </c>
      <c r="C8" s="4" t="inlineStr">
        <is>
          <t>Red测试</t>
        </is>
      </c>
      <c r="D8" s="2" t="inlineStr">
        <is>
          <t>模板市场</t>
        </is>
      </c>
      <c r="E8" s="11" t="inlineStr">
        <is>
          <t>P2</t>
        </is>
      </c>
      <c r="F8" s="5" t="inlineStr">
        <is>
          <t>前端</t>
        </is>
      </c>
      <c r="G8" s="5" t="n">
        <v>1</v>
      </c>
      <c r="H8" s="5" t="inlineStr">
        <is>
          <t>2026-W37</t>
        </is>
      </c>
      <c r="I8" s="5" t="inlineStr">
        <is>
          <t>2026-W37</t>
        </is>
      </c>
      <c r="J8" s="2" t="inlineStr">
        <is>
          <t>V20-TPL-002</t>
        </is>
      </c>
      <c r="K8" s="6" t="inlineStr">
        <is>
          <t>未开始</t>
        </is>
      </c>
      <c r="L8" s="2" t="inlineStr">
        <is>
          <t>【目标】编写模板创建向导测试
【测试文件路径】extensions/dw-template-market/__tests__/TemplateWizard.test.ts
【测试用例清单】
1. test_wizard_steps：向导步骤正确
2. test_template_structure_editor：结构编辑器
3. test_preview：模板预览
【运行命令】npx vitest run extensions/dw-template-market/__tests__/TemplateWizard.test.ts</t>
        </is>
      </c>
      <c r="M8" s="2" t="inlineStr">
        <is>
          <t>3个向导测试用例通过</t>
        </is>
      </c>
      <c r="N8" s="2" t="inlineStr"/>
    </row>
    <row r="9" ht="200" customHeight="1">
      <c r="A9" s="7" t="inlineStr">
        <is>
          <t>V20-TPL-008</t>
        </is>
      </c>
      <c r="B9" s="7" t="inlineStr">
        <is>
          <t>模板创建向导 - 实现</t>
        </is>
      </c>
      <c r="C9" s="8" t="inlineStr">
        <is>
          <t>Green实现</t>
        </is>
      </c>
      <c r="D9" s="7" t="inlineStr">
        <is>
          <t>模板市场</t>
        </is>
      </c>
      <c r="E9" s="11" t="inlineStr">
        <is>
          <t>P2</t>
        </is>
      </c>
      <c r="F9" s="9" t="inlineStr">
        <is>
          <t>前端</t>
        </is>
      </c>
      <c r="G9" s="9" t="n">
        <v>3</v>
      </c>
      <c r="H9" s="9" t="inlineStr">
        <is>
          <t>2026-W37</t>
        </is>
      </c>
      <c r="I9" s="9" t="inlineStr">
        <is>
          <t>2026-W37</t>
        </is>
      </c>
      <c r="J9" s="7" t="inlineStr">
        <is>
          <t>V20-TPL-007</t>
        </is>
      </c>
      <c r="K9" s="6" t="inlineStr">
        <is>
          <t>未开始</t>
        </is>
      </c>
      <c r="L9" s="7" t="inlineStr">
        <is>
          <t>【目标】实现模板创建向导
【源文件路径】extensions/dw-template-market/src/webview/TemplateWizard.ts
【实现步骤】
1. 多步骤向导：
   - 步骤1：基本信息（名称/描述/分类/标签）
   - 步骤2：结构定义（卷/章/节大纲）
   - 步骤3：角色设定模板
   - 步骤4：世界观设定模板
   - 步骤5：AI配置（推荐模型/写作风格）
2. 可视化结构编辑器（拖拽排序）
3. 实时预览
4. 保存和发布
【运行命令】npx vitest run extensions/dw-template-market/__tests__/TemplateWizard.test.ts</t>
        </is>
      </c>
      <c r="M9" s="7" t="inlineStr">
        <is>
          <t>模板创建向导实现完成</t>
        </is>
      </c>
      <c r="N9" s="7" t="inlineStr"/>
    </row>
    <row r="10" ht="200" customHeight="1">
      <c r="A10" s="2" t="inlineStr">
        <is>
          <t>V20-TPL-009</t>
        </is>
      </c>
      <c r="B10" s="2" t="inlineStr">
        <is>
          <t>模板创建向导 - 验收</t>
        </is>
      </c>
      <c r="C10" s="12" t="inlineStr">
        <is>
          <t>Acceptance验收</t>
        </is>
      </c>
      <c r="D10" s="2" t="inlineStr">
        <is>
          <t>模板市场</t>
        </is>
      </c>
      <c r="E10" s="11" t="inlineStr">
        <is>
          <t>P2</t>
        </is>
      </c>
      <c r="F10" s="5" t="inlineStr">
        <is>
          <t>前端</t>
        </is>
      </c>
      <c r="G10" s="5" t="n">
        <v>1</v>
      </c>
      <c r="H10" s="5" t="inlineStr">
        <is>
          <t>2026-W37</t>
        </is>
      </c>
      <c r="I10" s="5" t="inlineStr">
        <is>
          <t>2026-W37</t>
        </is>
      </c>
      <c r="J10" s="2" t="inlineStr">
        <is>
          <t>V20-TPL-008</t>
        </is>
      </c>
      <c r="K10" s="6" t="inlineStr">
        <is>
          <t>未开始</t>
        </is>
      </c>
      <c r="L10" s="2" t="inlineStr">
        <is>
          <t>【目标】模板创建向导验收
【验收检查项】
□ 向导步骤流畅
□ 结构编辑器可用
□ 预览正确
□ 保存发布正常
【运行命令】F5启动Extension Development Host</t>
        </is>
      </c>
      <c r="M10" s="2" t="inlineStr">
        <is>
          <t>模板创建向导验收通过</t>
        </is>
      </c>
      <c r="N10" s="2" t="inlineStr"/>
    </row>
    <row r="11" ht="200" customHeight="1">
      <c r="A11" s="7" t="inlineStr">
        <is>
          <t>V20-TPL-010</t>
        </is>
      </c>
      <c r="B11" s="7" t="inlineStr">
        <is>
          <t>模板版本管理 - 测试</t>
        </is>
      </c>
      <c r="C11" s="4" t="inlineStr">
        <is>
          <t>Red测试</t>
        </is>
      </c>
      <c r="D11" s="7" t="inlineStr">
        <is>
          <t>模板市场</t>
        </is>
      </c>
      <c r="E11" s="11" t="inlineStr">
        <is>
          <t>P2</t>
        </is>
      </c>
      <c r="F11" s="9" t="inlineStr">
        <is>
          <t>后端</t>
        </is>
      </c>
      <c r="G11" s="9" t="n">
        <v>1</v>
      </c>
      <c r="H11" s="9" t="inlineStr">
        <is>
          <t>2026-W37</t>
        </is>
      </c>
      <c r="I11" s="9" t="inlineStr">
        <is>
          <t>2026-W37</t>
        </is>
      </c>
      <c r="J11" s="7" t="inlineStr">
        <is>
          <t>V20-TPL-002</t>
        </is>
      </c>
      <c r="K11" s="6" t="inlineStr">
        <is>
          <t>未开始</t>
        </is>
      </c>
      <c r="L11" s="7" t="inlineStr">
        <is>
          <t>【目标】编写模板版本管理测试
【测试文件路径】server/service/template-service/tests/test_template_version.py
【测试用例清单】
1. test_create_version：创建版本 → 201
2. test_list_versions：版本列表 → 正确
3. test_rollback：版本回滚 → 正确
【运行命令】pytest server/service/template-service/tests/test_template_version.py -v</t>
        </is>
      </c>
      <c r="M11" s="7" t="inlineStr">
        <is>
          <t>3个版本管理测试用例通过</t>
        </is>
      </c>
      <c r="N11" s="7" t="inlineStr"/>
    </row>
    <row r="12" ht="200" customHeight="1">
      <c r="A12" s="2" t="inlineStr">
        <is>
          <t>V20-TPL-011</t>
        </is>
      </c>
      <c r="B12" s="2" t="inlineStr">
        <is>
          <t>模板版本管理 - 实现</t>
        </is>
      </c>
      <c r="C12" s="8" t="inlineStr">
        <is>
          <t>Green实现</t>
        </is>
      </c>
      <c r="D12" s="2" t="inlineStr">
        <is>
          <t>模板市场</t>
        </is>
      </c>
      <c r="E12" s="11" t="inlineStr">
        <is>
          <t>P2</t>
        </is>
      </c>
      <c r="F12" s="5" t="inlineStr">
        <is>
          <t>后端</t>
        </is>
      </c>
      <c r="G12" s="5" t="n">
        <v>2</v>
      </c>
      <c r="H12" s="5" t="inlineStr">
        <is>
          <t>2026-W37</t>
        </is>
      </c>
      <c r="I12" s="5" t="inlineStr">
        <is>
          <t>2026-W37</t>
        </is>
      </c>
      <c r="J12" s="2" t="inlineStr">
        <is>
          <t>V20-TPL-010</t>
        </is>
      </c>
      <c r="K12" s="6" t="inlineStr">
        <is>
          <t>未开始</t>
        </is>
      </c>
      <c r="L12" s="2" t="inlineStr">
        <is>
          <t>【目标】实现模板版本管理
【源文件路径】server/service/template-service/internal/version.go
【实现步骤】
1. 版本快照：每次更新自动创建版本
2. 版本列表：GET /templates/:id/versions
3. 版本对比：GET /templates/:id/diff/:v1/:v2
4. 版本回滚：POST /templates/:id/rollback/:version
5. 更新日志
【运行命令】pytest server/service/template-service/tests/test_template_version.py -v</t>
        </is>
      </c>
      <c r="M12" s="2" t="inlineStr">
        <is>
          <t>模板版本管理实现完成</t>
        </is>
      </c>
      <c r="N12" s="2" t="inlineStr"/>
    </row>
    <row r="13" ht="200" customHeight="1">
      <c r="A13" s="7" t="inlineStr">
        <is>
          <t>V20-TPL-012</t>
        </is>
      </c>
      <c r="B13" s="7" t="inlineStr">
        <is>
          <t>模板版本管理 - 验收</t>
        </is>
      </c>
      <c r="C13" s="12" t="inlineStr">
        <is>
          <t>Acceptance验收</t>
        </is>
      </c>
      <c r="D13" s="7" t="inlineStr">
        <is>
          <t>模板市场</t>
        </is>
      </c>
      <c r="E13" s="11" t="inlineStr">
        <is>
          <t>P2</t>
        </is>
      </c>
      <c r="F13" s="9" t="inlineStr">
        <is>
          <t>后端</t>
        </is>
      </c>
      <c r="G13" s="9" t="n">
        <v>1</v>
      </c>
      <c r="H13" s="9" t="inlineStr">
        <is>
          <t>2026-W37</t>
        </is>
      </c>
      <c r="I13" s="9" t="inlineStr">
        <is>
          <t>2026-W37</t>
        </is>
      </c>
      <c r="J13" s="7" t="inlineStr">
        <is>
          <t>V20-TPL-011</t>
        </is>
      </c>
      <c r="K13" s="6" t="inlineStr">
        <is>
          <t>未开始</t>
        </is>
      </c>
      <c r="L13" s="7" t="inlineStr">
        <is>
          <t>【目标】模板版本管理验收
【验收检查项】
□ 版本快照正常
□ 版本对比正确
□ 回滚功能正常
【运行命令】pytest server/service/template-service/tests/test_template_version.py -v</t>
        </is>
      </c>
      <c r="M13" s="7" t="inlineStr">
        <is>
          <t>模板版本管理验收通过</t>
        </is>
      </c>
      <c r="N13" s="7" t="inlineStr"/>
    </row>
    <row r="14" ht="200" customHeight="1">
      <c r="A14" s="2" t="inlineStr">
        <is>
          <t>V20-ANA-001</t>
        </is>
      </c>
      <c r="B14" s="2" t="inlineStr">
        <is>
          <t>数据采集服务 - 测试</t>
        </is>
      </c>
      <c r="C14" s="4" t="inlineStr">
        <is>
          <t>Red测试</t>
        </is>
      </c>
      <c r="D14" s="2" t="inlineStr">
        <is>
          <t>数据统计</t>
        </is>
      </c>
      <c r="E14" s="11" t="inlineStr">
        <is>
          <t>P2</t>
        </is>
      </c>
      <c r="F14" s="5" t="inlineStr">
        <is>
          <t>后端</t>
        </is>
      </c>
      <c r="G14" s="5" t="n">
        <v>1</v>
      </c>
      <c r="H14" s="5" t="inlineStr">
        <is>
          <t>2026-W38</t>
        </is>
      </c>
      <c r="I14" s="5" t="inlineStr">
        <is>
          <t>2026-W38</t>
        </is>
      </c>
      <c r="J14" s="2" t="inlineStr"/>
      <c r="K14" s="6" t="inlineStr">
        <is>
          <t>未开始</t>
        </is>
      </c>
      <c r="L14" s="2" t="inlineStr">
        <is>
          <t>【目标】编写数据采集服务测试
【测试文件路径】server/service/analytics-service/tests/test_collector.py
【测试用例清单】
1. test_collect_word_count：采集字数数据
2. test_collect_ai_usage：采集AI使用数据
3. test_collect_session：采集写作会话数据
4. test_collect_interval：定时采集
【运行命令】pytest server/service/analytics-service/tests/test_collector.py -v</t>
        </is>
      </c>
      <c r="M14" s="2" t="inlineStr">
        <is>
          <t>4个数据采集测试用例通过</t>
        </is>
      </c>
      <c r="N14" s="2" t="inlineStr"/>
    </row>
    <row r="15" ht="200" customHeight="1">
      <c r="A15" s="7" t="inlineStr">
        <is>
          <t>V20-ANA-002</t>
        </is>
      </c>
      <c r="B15" s="7" t="inlineStr">
        <is>
          <t>数据采集服务 - 实现</t>
        </is>
      </c>
      <c r="C15" s="8" t="inlineStr">
        <is>
          <t>Green实现</t>
        </is>
      </c>
      <c r="D15" s="7" t="inlineStr">
        <is>
          <t>数据统计</t>
        </is>
      </c>
      <c r="E15" s="11" t="inlineStr">
        <is>
          <t>P2</t>
        </is>
      </c>
      <c r="F15" s="9" t="inlineStr">
        <is>
          <t>后端</t>
        </is>
      </c>
      <c r="G15" s="9" t="n">
        <v>2</v>
      </c>
      <c r="H15" s="9" t="inlineStr">
        <is>
          <t>2026-W38</t>
        </is>
      </c>
      <c r="I15" s="9" t="inlineStr">
        <is>
          <t>2026-W38</t>
        </is>
      </c>
      <c r="J15" s="7" t="inlineStr">
        <is>
          <t>V20-ANA-001</t>
        </is>
      </c>
      <c r="K15" s="6" t="inlineStr">
        <is>
          <t>未开始</t>
        </is>
      </c>
      <c r="L15" s="7" t="inlineStr">
        <is>
          <t>【目标】实现数据采集服务
【源文件路径】server/service/analytics-service/internal/collector.go
【实现步骤】
1. 采集维度：
   - 字数统计（日/周/月）
   - AI使用次数和Token消耗
   - 写作会话时长
   - 章节完成数
   - 模型使用分布
2. 定时采集（每小时）
3. 数据聚合（日/周/月汇总）
4. 存储到PostgreSQL analytics表
【运行命令】pytest server/service/analytics-service/tests/test_collector.py -v</t>
        </is>
      </c>
      <c r="M15" s="7" t="inlineStr">
        <is>
          <t>数据采集服务实现完成</t>
        </is>
      </c>
      <c r="N15" s="7" t="inlineStr"/>
    </row>
    <row r="16" ht="200" customHeight="1">
      <c r="A16" s="2" t="inlineStr">
        <is>
          <t>V20-ANA-003</t>
        </is>
      </c>
      <c r="B16" s="2" t="inlineStr">
        <is>
          <t>数据采集服务 - 验收</t>
        </is>
      </c>
      <c r="C16" s="12" t="inlineStr">
        <is>
          <t>Acceptance验收</t>
        </is>
      </c>
      <c r="D16" s="2" t="inlineStr">
        <is>
          <t>数据统计</t>
        </is>
      </c>
      <c r="E16" s="11" t="inlineStr">
        <is>
          <t>P2</t>
        </is>
      </c>
      <c r="F16" s="5" t="inlineStr">
        <is>
          <t>后端</t>
        </is>
      </c>
      <c r="G16" s="5" t="n">
        <v>1</v>
      </c>
      <c r="H16" s="5" t="inlineStr">
        <is>
          <t>2026-W38</t>
        </is>
      </c>
      <c r="I16" s="5" t="inlineStr">
        <is>
          <t>2026-W38</t>
        </is>
      </c>
      <c r="J16" s="2" t="inlineStr">
        <is>
          <t>V20-ANA-002</t>
        </is>
      </c>
      <c r="K16" s="6" t="inlineStr">
        <is>
          <t>未开始</t>
        </is>
      </c>
      <c r="L16" s="2" t="inlineStr">
        <is>
          <t>【目标】数据采集服务验收
【验收检查项】
□ 采集数据准确
□ 定时采集正常
□ 数据聚合正确
【运行命令】pytest server/service/analytics-service/tests/test_collector.py -v</t>
        </is>
      </c>
      <c r="M16" s="2" t="inlineStr">
        <is>
          <t>数据采集服务验收通过</t>
        </is>
      </c>
      <c r="N16" s="2" t="inlineStr"/>
    </row>
    <row r="17" ht="200" customHeight="1">
      <c r="A17" s="7" t="inlineStr">
        <is>
          <t>V20-ANA-004</t>
        </is>
      </c>
      <c r="B17" s="7" t="inlineStr">
        <is>
          <t>统计分析API - 测试</t>
        </is>
      </c>
      <c r="C17" s="4" t="inlineStr">
        <is>
          <t>Red测试</t>
        </is>
      </c>
      <c r="D17" s="7" t="inlineStr">
        <is>
          <t>数据统计</t>
        </is>
      </c>
      <c r="E17" s="11" t="inlineStr">
        <is>
          <t>P2</t>
        </is>
      </c>
      <c r="F17" s="9" t="inlineStr">
        <is>
          <t>后端</t>
        </is>
      </c>
      <c r="G17" s="9" t="n">
        <v>1</v>
      </c>
      <c r="H17" s="9" t="inlineStr">
        <is>
          <t>2026-W38</t>
        </is>
      </c>
      <c r="I17" s="9" t="inlineStr">
        <is>
          <t>2026-W38</t>
        </is>
      </c>
      <c r="J17" s="7" t="inlineStr">
        <is>
          <t>V20-ANA-002</t>
        </is>
      </c>
      <c r="K17" s="6" t="inlineStr">
        <is>
          <t>未开始</t>
        </is>
      </c>
      <c r="L17" s="7" t="inlineStr">
        <is>
          <t>【目标】编写统计分析API测试
【测试文件路径】server/service/analytics-service/tests/test_stats_api.py
【测试用例清单】
1. test_get_daily_stats：日统计 → 正确
2. test_get_weekly_stats：周统计 → 正确
3. test_get_model_usage：模型使用分布 → 正确
4. test_get_writing_trends：写作趋势 → 正确
【运行命令】pytest server/service/analytics-service/tests/test_stats_api.py -v</t>
        </is>
      </c>
      <c r="M17" s="7" t="inlineStr">
        <is>
          <t>4个统计分析测试用例通过</t>
        </is>
      </c>
      <c r="N17" s="7" t="inlineStr"/>
    </row>
    <row r="18" ht="200" customHeight="1">
      <c r="A18" s="2" t="inlineStr">
        <is>
          <t>V20-ANA-005</t>
        </is>
      </c>
      <c r="B18" s="2" t="inlineStr">
        <is>
          <t>统计分析API - 实现</t>
        </is>
      </c>
      <c r="C18" s="8" t="inlineStr">
        <is>
          <t>Green实现</t>
        </is>
      </c>
      <c r="D18" s="2" t="inlineStr">
        <is>
          <t>数据统计</t>
        </is>
      </c>
      <c r="E18" s="11" t="inlineStr">
        <is>
          <t>P2</t>
        </is>
      </c>
      <c r="F18" s="5" t="inlineStr">
        <is>
          <t>后端</t>
        </is>
      </c>
      <c r="G18" s="5" t="n">
        <v>2</v>
      </c>
      <c r="H18" s="5" t="inlineStr">
        <is>
          <t>2026-W38</t>
        </is>
      </c>
      <c r="I18" s="5" t="inlineStr">
        <is>
          <t>2026-W38</t>
        </is>
      </c>
      <c r="J18" s="2" t="inlineStr">
        <is>
          <t>V20-ANA-004</t>
        </is>
      </c>
      <c r="K18" s="6" t="inlineStr">
        <is>
          <t>未开始</t>
        </is>
      </c>
      <c r="L18" s="2" t="inlineStr">
        <is>
          <t>【目标】实现统计分析API
【源文件路径】server/service/analytics-service/
【API端点】
- GET /analytics/daily → 日统计
- GET /analytics/weekly → 周统计
- GET /analytics/monthly → 月统计
- GET /analytics/model-usage → 模型使用分布
- GET /analytics/writing-trends → 写作趋势
- GET /analytics/goals → 目标完成度
【实现步骤】
1. SQL聚合查询
2. 时间范围筛选
3. 数据可视化格式
【运行命令】pytest server/service/analytics-service/tests/test_stats_api.py -v</t>
        </is>
      </c>
      <c r="M18" s="2" t="inlineStr">
        <is>
          <t>统计分析API实现完成</t>
        </is>
      </c>
      <c r="N18" s="2" t="inlineStr"/>
    </row>
    <row r="19" ht="200" customHeight="1">
      <c r="A19" s="7" t="inlineStr">
        <is>
          <t>V20-ANA-006</t>
        </is>
      </c>
      <c r="B19" s="7" t="inlineStr">
        <is>
          <t>统计分析API - 验收</t>
        </is>
      </c>
      <c r="C19" s="12" t="inlineStr">
        <is>
          <t>Acceptance验收</t>
        </is>
      </c>
      <c r="D19" s="7" t="inlineStr">
        <is>
          <t>数据统计</t>
        </is>
      </c>
      <c r="E19" s="11" t="inlineStr">
        <is>
          <t>P2</t>
        </is>
      </c>
      <c r="F19" s="9" t="inlineStr">
        <is>
          <t>后端</t>
        </is>
      </c>
      <c r="G19" s="9" t="n">
        <v>1</v>
      </c>
      <c r="H19" s="9" t="inlineStr">
        <is>
          <t>2026-W38</t>
        </is>
      </c>
      <c r="I19" s="9" t="inlineStr">
        <is>
          <t>2026-W38</t>
        </is>
      </c>
      <c r="J19" s="7" t="inlineStr">
        <is>
          <t>V20-ANA-005</t>
        </is>
      </c>
      <c r="K19" s="6" t="inlineStr">
        <is>
          <t>未开始</t>
        </is>
      </c>
      <c r="L19" s="7" t="inlineStr">
        <is>
          <t>【目标】统计分析API验收
【验收检查项】
□ 日/周/月统计正确
□ 模型使用分布正确
□ 写作趋势数据正确
【运行命令】pytest server/service/analytics-service/tests/test_stats_api.py -v</t>
        </is>
      </c>
      <c r="M19" s="7" t="inlineStr">
        <is>
          <t>统计分析API验收通过</t>
        </is>
      </c>
      <c r="N19" s="7" t="inlineStr"/>
    </row>
    <row r="20" ht="200" customHeight="1">
      <c r="A20" s="2" t="inlineStr">
        <is>
          <t>V20-ANA-007</t>
        </is>
      </c>
      <c r="B20" s="2" t="inlineStr">
        <is>
          <t>可视化面板Webview - 测试</t>
        </is>
      </c>
      <c r="C20" s="4" t="inlineStr">
        <is>
          <t>Red测试</t>
        </is>
      </c>
      <c r="D20" s="2" t="inlineStr">
        <is>
          <t>数据统计</t>
        </is>
      </c>
      <c r="E20" s="11" t="inlineStr">
        <is>
          <t>P2</t>
        </is>
      </c>
      <c r="F20" s="5" t="inlineStr">
        <is>
          <t>前端</t>
        </is>
      </c>
      <c r="G20" s="5" t="n">
        <v>1</v>
      </c>
      <c r="H20" s="5" t="inlineStr">
        <is>
          <t>2026-W39</t>
        </is>
      </c>
      <c r="I20" s="5" t="inlineStr">
        <is>
          <t>2026-W39</t>
        </is>
      </c>
      <c r="J20" s="2" t="inlineStr">
        <is>
          <t>V20-ANA-005</t>
        </is>
      </c>
      <c r="K20" s="6" t="inlineStr">
        <is>
          <t>未开始</t>
        </is>
      </c>
      <c r="L20" s="2" t="inlineStr">
        <is>
          <t>【目标】编写可视化面板测试
【测试文件路径】extensions/dw-analytics/__tests__/AnalyticsPanel.test.ts
【测试用例清单】
1. test_render_charts：图表渲染正确
2. test_date_range_selector：日期范围选择
3. test_export_report：导出报告
【运行命令】npx vitest run extensions/dw-analytics/__tests__/AnalyticsPanel.test.ts</t>
        </is>
      </c>
      <c r="M20" s="2" t="inlineStr">
        <is>
          <t>3个可视化面板测试用例通过</t>
        </is>
      </c>
      <c r="N20" s="2" t="inlineStr"/>
    </row>
    <row r="21" ht="200" customHeight="1">
      <c r="A21" s="7" t="inlineStr">
        <is>
          <t>V20-ANA-008</t>
        </is>
      </c>
      <c r="B21" s="7" t="inlineStr">
        <is>
          <t>可视化面板Webview - 实现</t>
        </is>
      </c>
      <c r="C21" s="8" t="inlineStr">
        <is>
          <t>Green实现</t>
        </is>
      </c>
      <c r="D21" s="7" t="inlineStr">
        <is>
          <t>数据统计</t>
        </is>
      </c>
      <c r="E21" s="11" t="inlineStr">
        <is>
          <t>P2</t>
        </is>
      </c>
      <c r="F21" s="9" t="inlineStr">
        <is>
          <t>前端</t>
        </is>
      </c>
      <c r="G21" s="9" t="n">
        <v>3</v>
      </c>
      <c r="H21" s="9" t="inlineStr">
        <is>
          <t>2026-W39</t>
        </is>
      </c>
      <c r="I21" s="9" t="inlineStr">
        <is>
          <t>2026-W39</t>
        </is>
      </c>
      <c r="J21" s="7" t="inlineStr">
        <is>
          <t>V20-ANA-007</t>
        </is>
      </c>
      <c r="K21" s="6" t="inlineStr">
        <is>
          <t>未开始</t>
        </is>
      </c>
      <c r="L21" s="7" t="inlineStr">
        <is>
          <t>【目标】实现数据可视化面板
【源文件路径】extensions/dw-analytics/src/webview/AnalyticsPanel.ts
【实现步骤】
1. 使用Chart.js或ECharts渲染图表
2. 图表类型：
   - 字数趋势折线图（日/周/月）
   - AI模型使用饼图
   - 写作时段热力图
   - 目标完成进度条
3. 日期范围选择器
4. 数据导出（CSV/PNG）
5. 写作目标设置和追踪
【运行命令】npx vitest run extensions/dw-analytics/__tests__/AnalyticsPanel.test.ts</t>
        </is>
      </c>
      <c r="M21" s="7" t="inlineStr">
        <is>
          <t>可视化面板实现完成</t>
        </is>
      </c>
      <c r="N21" s="7" t="inlineStr"/>
    </row>
    <row r="22" ht="200" customHeight="1">
      <c r="A22" s="2" t="inlineStr">
        <is>
          <t>V20-ANA-009</t>
        </is>
      </c>
      <c r="B22" s="2" t="inlineStr">
        <is>
          <t>可视化面板Webview - 验收</t>
        </is>
      </c>
      <c r="C22" s="12" t="inlineStr">
        <is>
          <t>Acceptance验收</t>
        </is>
      </c>
      <c r="D22" s="2" t="inlineStr">
        <is>
          <t>数据统计</t>
        </is>
      </c>
      <c r="E22" s="11" t="inlineStr">
        <is>
          <t>P2</t>
        </is>
      </c>
      <c r="F22" s="5" t="inlineStr">
        <is>
          <t>前端</t>
        </is>
      </c>
      <c r="G22" s="5" t="n">
        <v>1</v>
      </c>
      <c r="H22" s="5" t="inlineStr">
        <is>
          <t>2026-W39</t>
        </is>
      </c>
      <c r="I22" s="5" t="inlineStr">
        <is>
          <t>2026-W39</t>
        </is>
      </c>
      <c r="J22" s="2" t="inlineStr">
        <is>
          <t>V20-ANA-008</t>
        </is>
      </c>
      <c r="K22" s="6" t="inlineStr">
        <is>
          <t>未开始</t>
        </is>
      </c>
      <c r="L22" s="2" t="inlineStr">
        <is>
          <t>【目标】可视化面板验收
【验收检查项】
□ 图表渲染正确
□ 日期选择正常
□ 数据导出可用
□ 目标追踪正常
【运行命令】F5启动Extension Development Host</t>
        </is>
      </c>
      <c r="M22" s="2" t="inlineStr">
        <is>
          <t>可视化面板验收通过</t>
        </is>
      </c>
      <c r="N22" s="2" t="inlineStr"/>
    </row>
    <row r="23" ht="200" customHeight="1">
      <c r="A23" s="7" t="inlineStr">
        <is>
          <t>V20-COM-001</t>
        </is>
      </c>
      <c r="B23" s="7" t="inlineStr">
        <is>
          <t>作品发布API - 测试</t>
        </is>
      </c>
      <c r="C23" s="4" t="inlineStr">
        <is>
          <t>Red测试</t>
        </is>
      </c>
      <c r="D23" s="7" t="inlineStr">
        <is>
          <t>社区分享</t>
        </is>
      </c>
      <c r="E23" s="11" t="inlineStr">
        <is>
          <t>P2</t>
        </is>
      </c>
      <c r="F23" s="9" t="inlineStr">
        <is>
          <t>后端</t>
        </is>
      </c>
      <c r="G23" s="9" t="n">
        <v>1</v>
      </c>
      <c r="H23" s="9" t="inlineStr">
        <is>
          <t>2026-W40</t>
        </is>
      </c>
      <c r="I23" s="9" t="inlineStr">
        <is>
          <t>2026-W40</t>
        </is>
      </c>
      <c r="J23" s="7" t="inlineStr"/>
      <c r="K23" s="6" t="inlineStr">
        <is>
          <t>未开始</t>
        </is>
      </c>
      <c r="L23" s="7" t="inlineStr">
        <is>
          <t>【目标】编写作品发布API测试
【测试文件路径】server/service/community-service/tests/test_publish_api.py
【测试用例清单】
1. test_publish_work：发布作品 → 201
2. test_unpublish_work：取消发布 → 200
3. test_get_published_works：获取已发布作品列表 → 200
4. test_work_visibility：作品可见性控制
【运行命令】pytest server/service/community-service/tests/test_publish_api.py -v</t>
        </is>
      </c>
      <c r="M23" s="7" t="inlineStr">
        <is>
          <t>4个发布API测试用例通过</t>
        </is>
      </c>
      <c r="N23" s="7" t="inlineStr"/>
    </row>
    <row r="24" ht="200" customHeight="1">
      <c r="A24" s="2" t="inlineStr">
        <is>
          <t>V20-COM-002</t>
        </is>
      </c>
      <c r="B24" s="2" t="inlineStr">
        <is>
          <t>作品发布API - 实现</t>
        </is>
      </c>
      <c r="C24" s="8" t="inlineStr">
        <is>
          <t>Green实现</t>
        </is>
      </c>
      <c r="D24" s="2" t="inlineStr">
        <is>
          <t>社区分享</t>
        </is>
      </c>
      <c r="E24" s="11" t="inlineStr">
        <is>
          <t>P2</t>
        </is>
      </c>
      <c r="F24" s="5" t="inlineStr">
        <is>
          <t>后端</t>
        </is>
      </c>
      <c r="G24" s="5" t="n">
        <v>2</v>
      </c>
      <c r="H24" s="5" t="inlineStr">
        <is>
          <t>2026-W40</t>
        </is>
      </c>
      <c r="I24" s="5" t="inlineStr">
        <is>
          <t>2026-W40</t>
        </is>
      </c>
      <c r="J24" s="2" t="inlineStr">
        <is>
          <t>V20-COM-001</t>
        </is>
      </c>
      <c r="K24" s="6" t="inlineStr">
        <is>
          <t>未开始</t>
        </is>
      </c>
      <c r="L24" s="2" t="inlineStr">
        <is>
          <t>【目标】实现作品发布API
【源文件路径】server/service/community-service/
【API端点】
- POST /community/works/:id/publish → 发布作品
- POST /community/works/:id/unpublish → 取消发布
- GET /community/works → 社区作品列表
- GET /community/works/:id → 作品详情
- POST /community/works/:id/like → 点赞
- POST /community/works/:id/favorite → 收藏
【实现步骤】
1. 发布/取消发布
2. 可见性控制（公开/仅链接/私密）
3. 点赞和收藏
4. 浏览量统计
【运行命令】pytest server/service/community-service/tests/test_publish_api.py -v</t>
        </is>
      </c>
      <c r="M24" s="2" t="inlineStr">
        <is>
          <t>作品发布API实现完成</t>
        </is>
      </c>
      <c r="N24" s="2" t="inlineStr"/>
    </row>
    <row r="25" ht="200" customHeight="1">
      <c r="A25" s="7" t="inlineStr">
        <is>
          <t>V20-COM-003</t>
        </is>
      </c>
      <c r="B25" s="7" t="inlineStr">
        <is>
          <t>作品发布API - 验收</t>
        </is>
      </c>
      <c r="C25" s="12" t="inlineStr">
        <is>
          <t>Acceptance验收</t>
        </is>
      </c>
      <c r="D25" s="7" t="inlineStr">
        <is>
          <t>社区分享</t>
        </is>
      </c>
      <c r="E25" s="11" t="inlineStr">
        <is>
          <t>P2</t>
        </is>
      </c>
      <c r="F25" s="9" t="inlineStr">
        <is>
          <t>后端</t>
        </is>
      </c>
      <c r="G25" s="9" t="n">
        <v>1</v>
      </c>
      <c r="H25" s="9" t="inlineStr">
        <is>
          <t>2026-W40</t>
        </is>
      </c>
      <c r="I25" s="9" t="inlineStr">
        <is>
          <t>2026-W40</t>
        </is>
      </c>
      <c r="J25" s="7" t="inlineStr">
        <is>
          <t>V20-COM-002</t>
        </is>
      </c>
      <c r="K25" s="6" t="inlineStr">
        <is>
          <t>未开始</t>
        </is>
      </c>
      <c r="L25" s="7" t="inlineStr">
        <is>
          <t>【目标】作品发布API验收
【验收检查项】
□ 发布/取消发布正常
□ 可见性控制正确
□ 点赞收藏正常
【运行命令】pytest server/service/community-service/tests/test_publish_api.py -v</t>
        </is>
      </c>
      <c r="M25" s="7" t="inlineStr">
        <is>
          <t>作品发布API验收通过</t>
        </is>
      </c>
      <c r="N25" s="7" t="inlineStr"/>
    </row>
    <row r="26" ht="200" customHeight="1">
      <c r="A26" s="2" t="inlineStr">
        <is>
          <t>V20-COM-004</t>
        </is>
      </c>
      <c r="B26" s="2" t="inlineStr">
        <is>
          <t>评论互动系统 - 测试</t>
        </is>
      </c>
      <c r="C26" s="4" t="inlineStr">
        <is>
          <t>Red测试</t>
        </is>
      </c>
      <c r="D26" s="2" t="inlineStr">
        <is>
          <t>社区分享</t>
        </is>
      </c>
      <c r="E26" s="11" t="inlineStr">
        <is>
          <t>P2</t>
        </is>
      </c>
      <c r="F26" s="5" t="inlineStr">
        <is>
          <t>后端</t>
        </is>
      </c>
      <c r="G26" s="5" t="n">
        <v>1</v>
      </c>
      <c r="H26" s="5" t="inlineStr">
        <is>
          <t>2026-W40</t>
        </is>
      </c>
      <c r="I26" s="5" t="inlineStr">
        <is>
          <t>2026-W40</t>
        </is>
      </c>
      <c r="J26" s="2" t="inlineStr">
        <is>
          <t>V20-COM-002</t>
        </is>
      </c>
      <c r="K26" s="6" t="inlineStr">
        <is>
          <t>未开始</t>
        </is>
      </c>
      <c r="L26" s="2" t="inlineStr">
        <is>
          <t>【目标】编写评论系统测试
【测试文件路径】server/service/community-service/tests/test_comment_api.py
【测试用例清单】
1. test_create_comment：创建评论 → 201
2. test_reply_comment：回复评论 → 201
3. test_delete_comment：删除评论 → 204
4. test_like_comment：点赞评论 → 200
5. test_get_comments：获取评论列表 → 200
【运行命令】pytest server/service/community-service/tests/test_comment_api.py -v</t>
        </is>
      </c>
      <c r="M26" s="2" t="inlineStr">
        <is>
          <t>5个评论系统测试用例通过</t>
        </is>
      </c>
      <c r="N26" s="2" t="inlineStr"/>
    </row>
    <row r="27" ht="200" customHeight="1">
      <c r="A27" s="7" t="inlineStr">
        <is>
          <t>V20-COM-005</t>
        </is>
      </c>
      <c r="B27" s="7" t="inlineStr">
        <is>
          <t>评论互动系统 - 实现</t>
        </is>
      </c>
      <c r="C27" s="8" t="inlineStr">
        <is>
          <t>Green实现</t>
        </is>
      </c>
      <c r="D27" s="7" t="inlineStr">
        <is>
          <t>社区分享</t>
        </is>
      </c>
      <c r="E27" s="11" t="inlineStr">
        <is>
          <t>P2</t>
        </is>
      </c>
      <c r="F27" s="9" t="inlineStr">
        <is>
          <t>后端</t>
        </is>
      </c>
      <c r="G27" s="9" t="n">
        <v>2</v>
      </c>
      <c r="H27" s="9" t="inlineStr">
        <is>
          <t>2026-W40</t>
        </is>
      </c>
      <c r="I27" s="9" t="inlineStr">
        <is>
          <t>2026-W40</t>
        </is>
      </c>
      <c r="J27" s="7" t="inlineStr">
        <is>
          <t>V20-COM-004</t>
        </is>
      </c>
      <c r="K27" s="6" t="inlineStr">
        <is>
          <t>未开始</t>
        </is>
      </c>
      <c r="L27" s="7" t="inlineStr">
        <is>
          <t>【目标】实现评论互动系统
【源文件路径】server/service/community-service/internal/comment.go
【API端点】
- POST /community/works/:id/comments → 创建评论
- POST /community/comments/:id/reply → 回复评论
- DELETE /community/comments/:id → 删除评论
- POST /community/comments/:id/like → 点赞
- GET /community/works/:id/comments → 评论列表（分页+排序）
【实现步骤】
1. 评论CRUD
2. 嵌套回复（最多3层）
3. 点赞
4. 敏感词过滤
5. 分页查询
【运行命令】pytest server/service/community-service/tests/test_comment_api.py -v</t>
        </is>
      </c>
      <c r="M27" s="7" t="inlineStr">
        <is>
          <t>评论互动系统实现完成</t>
        </is>
      </c>
      <c r="N27" s="7" t="inlineStr"/>
    </row>
    <row r="28" ht="200" customHeight="1">
      <c r="A28" s="2" t="inlineStr">
        <is>
          <t>V20-COM-006</t>
        </is>
      </c>
      <c r="B28" s="2" t="inlineStr">
        <is>
          <t>评论互动系统 - 验收</t>
        </is>
      </c>
      <c r="C28" s="12" t="inlineStr">
        <is>
          <t>Acceptance验收</t>
        </is>
      </c>
      <c r="D28" s="2" t="inlineStr">
        <is>
          <t>社区分享</t>
        </is>
      </c>
      <c r="E28" s="11" t="inlineStr">
        <is>
          <t>P2</t>
        </is>
      </c>
      <c r="F28" s="5" t="inlineStr">
        <is>
          <t>后端</t>
        </is>
      </c>
      <c r="G28" s="5" t="n">
        <v>1</v>
      </c>
      <c r="H28" s="5" t="inlineStr">
        <is>
          <t>2026-W40</t>
        </is>
      </c>
      <c r="I28" s="5" t="inlineStr">
        <is>
          <t>2026-W40</t>
        </is>
      </c>
      <c r="J28" s="2" t="inlineStr">
        <is>
          <t>V20-COM-005</t>
        </is>
      </c>
      <c r="K28" s="6" t="inlineStr">
        <is>
          <t>未开始</t>
        </is>
      </c>
      <c r="L28" s="2" t="inlineStr">
        <is>
          <t>【目标】评论互动系统验收
【验收检查项】
□ 评论CRUD正常
□ 嵌套回复正确
□ 敏感词过滤生效
□ 分页查询正确
【运行命令】pytest server/service/community-service/tests/test_comment_api.py -v</t>
        </is>
      </c>
      <c r="M28" s="2" t="inlineStr">
        <is>
          <t>评论互动系统验收通过</t>
        </is>
      </c>
      <c r="N28" s="2" t="inlineStr"/>
    </row>
    <row r="29" ht="200" customHeight="1">
      <c r="A29" s="7" t="inlineStr">
        <is>
          <t>V20-COM-007</t>
        </is>
      </c>
      <c r="B29" s="7" t="inlineStr">
        <is>
          <t>社区Webview - 测试</t>
        </is>
      </c>
      <c r="C29" s="4" t="inlineStr">
        <is>
          <t>Red测试</t>
        </is>
      </c>
      <c r="D29" s="7" t="inlineStr">
        <is>
          <t>社区分享</t>
        </is>
      </c>
      <c r="E29" s="11" t="inlineStr">
        <is>
          <t>P2</t>
        </is>
      </c>
      <c r="F29" s="9" t="inlineStr">
        <is>
          <t>前端</t>
        </is>
      </c>
      <c r="G29" s="9" t="n">
        <v>1</v>
      </c>
      <c r="H29" s="9" t="inlineStr">
        <is>
          <t>2026-W41</t>
        </is>
      </c>
      <c r="I29" s="9" t="inlineStr">
        <is>
          <t>2026-W41</t>
        </is>
      </c>
      <c r="J29" s="7" t="inlineStr">
        <is>
          <t>V20-COM-003</t>
        </is>
      </c>
      <c r="K29" s="6" t="inlineStr">
        <is>
          <t>未开始</t>
        </is>
      </c>
      <c r="L29" s="7" t="inlineStr">
        <is>
          <t>【目标】编写社区Webview测试
【测试文件路径】extensions/dw-community/__tests__/CommunityPanel.test.ts
【测试用例清单】
1. test_render_work_list：作品列表渲染
2. test_render_comments：评论区渲染
3. test_post_comment：发表评论
【运行命令】npx vitest run extensions/dw-community/__tests__/CommunityPanel.test.ts</t>
        </is>
      </c>
      <c r="M29" s="7" t="inlineStr">
        <is>
          <t>3个社区Webview测试用例通过</t>
        </is>
      </c>
      <c r="N29" s="7" t="inlineStr"/>
    </row>
    <row r="30" ht="200" customHeight="1">
      <c r="A30" s="2" t="inlineStr">
        <is>
          <t>V20-COM-008</t>
        </is>
      </c>
      <c r="B30" s="2" t="inlineStr">
        <is>
          <t>社区Webview - 实现</t>
        </is>
      </c>
      <c r="C30" s="8" t="inlineStr">
        <is>
          <t>Green实现</t>
        </is>
      </c>
      <c r="D30" s="2" t="inlineStr">
        <is>
          <t>社区分享</t>
        </is>
      </c>
      <c r="E30" s="11" t="inlineStr">
        <is>
          <t>P2</t>
        </is>
      </c>
      <c r="F30" s="5" t="inlineStr">
        <is>
          <t>前端</t>
        </is>
      </c>
      <c r="G30" s="5" t="n">
        <v>3</v>
      </c>
      <c r="H30" s="5" t="inlineStr">
        <is>
          <t>2026-W41</t>
        </is>
      </c>
      <c r="I30" s="5" t="inlineStr">
        <is>
          <t>2026-W41</t>
        </is>
      </c>
      <c r="J30" s="2" t="inlineStr">
        <is>
          <t>V20-COM-007</t>
        </is>
      </c>
      <c r="K30" s="6" t="inlineStr">
        <is>
          <t>未开始</t>
        </is>
      </c>
      <c r="L30" s="2" t="inlineStr">
        <is>
          <t>【目标】实现社区Webview
【源文件路径】extensions/dw-community/src/webview/CommunityPanel.ts
【实现步骤】
1. 作品列表页（瀑布流布局）
2. 作品详情页（简介+章节列表+评论区）
3. 评论组件（发表/回复/点赞）
4. 搜索和筛选
5. 个人主页（我的作品/收藏/点赞）
【运行命令】npx vitest run extensions/dw-community/__tests__/CommunityPanel.test.ts</t>
        </is>
      </c>
      <c r="M30" s="2" t="inlineStr">
        <is>
          <t>社区Webview实现完成</t>
        </is>
      </c>
      <c r="N30" s="2" t="inlineStr"/>
    </row>
    <row r="31" ht="200" customHeight="1">
      <c r="A31" s="7" t="inlineStr">
        <is>
          <t>V20-COM-009</t>
        </is>
      </c>
      <c r="B31" s="7" t="inlineStr">
        <is>
          <t>社区Webview - 验收</t>
        </is>
      </c>
      <c r="C31" s="12" t="inlineStr">
        <is>
          <t>Acceptance验收</t>
        </is>
      </c>
      <c r="D31" s="7" t="inlineStr">
        <is>
          <t>社区分享</t>
        </is>
      </c>
      <c r="E31" s="11" t="inlineStr">
        <is>
          <t>P2</t>
        </is>
      </c>
      <c r="F31" s="9" t="inlineStr">
        <is>
          <t>前端</t>
        </is>
      </c>
      <c r="G31" s="9" t="n">
        <v>1</v>
      </c>
      <c r="H31" s="9" t="inlineStr">
        <is>
          <t>2026-W41</t>
        </is>
      </c>
      <c r="I31" s="9" t="inlineStr">
        <is>
          <t>2026-W41</t>
        </is>
      </c>
      <c r="J31" s="7" t="inlineStr">
        <is>
          <t>V20-COM-008</t>
        </is>
      </c>
      <c r="K31" s="6" t="inlineStr">
        <is>
          <t>未开始</t>
        </is>
      </c>
      <c r="L31" s="7" t="inlineStr">
        <is>
          <t>【目标】社区Webview验收
【验收检查项】
□ 作品列表显示正确
□ 评论功能正常
□ 搜索筛选可用
□ 个人主页正常
【运行命令】F5启动Extension Development Host</t>
        </is>
      </c>
      <c r="M31" s="7" t="inlineStr">
        <is>
          <t>社区Webview验收通过</t>
        </is>
      </c>
      <c r="N31" s="7" t="inlineStr"/>
    </row>
    <row r="32" ht="200" customHeight="1">
      <c r="A32" s="2" t="inlineStr">
        <is>
          <t>V20-COL-001</t>
        </is>
      </c>
      <c r="B32" s="2" t="inlineStr">
        <is>
          <t>CRDT实时协作引擎 - 测试</t>
        </is>
      </c>
      <c r="C32" s="4" t="inlineStr">
        <is>
          <t>Red测试</t>
        </is>
      </c>
      <c r="D32" s="2" t="inlineStr">
        <is>
          <t>协作写作</t>
        </is>
      </c>
      <c r="E32" s="11" t="inlineStr">
        <is>
          <t>P2</t>
        </is>
      </c>
      <c r="F32" s="5" t="inlineStr">
        <is>
          <t>后端</t>
        </is>
      </c>
      <c r="G32" s="5" t="n">
        <v>1</v>
      </c>
      <c r="H32" s="5" t="inlineStr">
        <is>
          <t>2026-W42</t>
        </is>
      </c>
      <c r="I32" s="5" t="inlineStr">
        <is>
          <t>2026-W42</t>
        </is>
      </c>
      <c r="J32" s="2" t="inlineStr"/>
      <c r="K32" s="6" t="inlineStr">
        <is>
          <t>未开始</t>
        </is>
      </c>
      <c r="L32" s="2" t="inlineStr">
        <is>
          <t>【目标】编写CRDT协作引擎测试
【测试框架】pytest
【测试文件路径】server/service/collab-service/tests/test_crdt.py
【测试用例清单】
1. test_concurrent_insert：并发插入 → 无冲突
2. test_concurrent_delete：并发删除 → 无冲突
3. test_sync_state：状态同步 → 最终一致
4. test_conflict_resolution：冲突解决 → 正确
5. test_performance_100_users：100用户并发 → 延迟&lt;100ms
【运行命令】pytest server/service/collab-service/tests/test_crdt.py -v</t>
        </is>
      </c>
      <c r="M32" s="2" t="inlineStr">
        <is>
          <t>5个CRDT测试用例通过</t>
        </is>
      </c>
      <c r="N32" s="2" t="inlineStr"/>
    </row>
    <row r="33" ht="200" customHeight="1">
      <c r="A33" s="7" t="inlineStr">
        <is>
          <t>V20-COL-002</t>
        </is>
      </c>
      <c r="B33" s="7" t="inlineStr">
        <is>
          <t>CRDT实时协作引擎 - 实现</t>
        </is>
      </c>
      <c r="C33" s="8" t="inlineStr">
        <is>
          <t>Green实现</t>
        </is>
      </c>
      <c r="D33" s="7" t="inlineStr">
        <is>
          <t>协作写作</t>
        </is>
      </c>
      <c r="E33" s="11" t="inlineStr">
        <is>
          <t>P2</t>
        </is>
      </c>
      <c r="F33" s="9" t="inlineStr">
        <is>
          <t>后端</t>
        </is>
      </c>
      <c r="G33" s="9" t="n">
        <v>5</v>
      </c>
      <c r="H33" s="9" t="inlineStr">
        <is>
          <t>2026-W42</t>
        </is>
      </c>
      <c r="I33" s="9" t="inlineStr">
        <is>
          <t>2026-W43</t>
        </is>
      </c>
      <c r="J33" s="7" t="inlineStr">
        <is>
          <t>V20-COL-001</t>
        </is>
      </c>
      <c r="K33" s="6" t="inlineStr">
        <is>
          <t>未开始</t>
        </is>
      </c>
      <c r="L33" s="7" t="inlineStr">
        <is>
          <t>【目标】实现CRDT实时协作引擎
【源文件路径】server/service/collab-service/internal/crdt/
【技术选型】Yjs (CRDT库) + WebSocket
【实现步骤】
1. 集成Yjs CRDT库
2. WebSocket服务：
   - /ws/collab/:work_id/:chapter_id
   - 二进制编码（高效传输）
3. 操作转换：
   - insert(position, text)
   - delete(position, length)
   - format(position, length, attrs)
4. 状态同步：
   - 新用户加入 → 发送完整文档状态
   - 增量更新 → 只发送变更
5. 持久化：定期保存到PostgreSQL
6. 断线重连：自动同步
【运行命令】pytest server/service/collab-service/tests/test_crdt.py -v</t>
        </is>
      </c>
      <c r="M33" s="7" t="inlineStr">
        <is>
          <t>CRDT协作引擎实现完成</t>
        </is>
      </c>
      <c r="N33" s="7" t="inlineStr"/>
    </row>
    <row r="34" ht="200" customHeight="1">
      <c r="A34" s="2" t="inlineStr">
        <is>
          <t>V20-COL-003</t>
        </is>
      </c>
      <c r="B34" s="2" t="inlineStr">
        <is>
          <t>CRDT实时协作引擎 - 验收</t>
        </is>
      </c>
      <c r="C34" s="12" t="inlineStr">
        <is>
          <t>Acceptance验收</t>
        </is>
      </c>
      <c r="D34" s="2" t="inlineStr">
        <is>
          <t>协作写作</t>
        </is>
      </c>
      <c r="E34" s="11" t="inlineStr">
        <is>
          <t>P2</t>
        </is>
      </c>
      <c r="F34" s="5" t="inlineStr">
        <is>
          <t>后端</t>
        </is>
      </c>
      <c r="G34" s="5" t="n">
        <v>1</v>
      </c>
      <c r="H34" s="5" t="inlineStr">
        <is>
          <t>2026-W43</t>
        </is>
      </c>
      <c r="I34" s="5" t="inlineStr">
        <is>
          <t>2026-W43</t>
        </is>
      </c>
      <c r="J34" s="2" t="inlineStr">
        <is>
          <t>V20-COL-002</t>
        </is>
      </c>
      <c r="K34" s="6" t="inlineStr">
        <is>
          <t>未开始</t>
        </is>
      </c>
      <c r="L34" s="2" t="inlineStr">
        <is>
          <t>【目标】CRDT协作引擎验收
【测试场景】
1. 2人同时编辑 → 无冲突
2. 5人同时编辑 → 最终一致
3. 断线重连 → 自动同步
4. 100用户并发 → 延迟&lt;100ms
【验收检查项】
□ 并发编辑无冲突
□ 最终一致性保证
□ 断线重连正常
□ 性能达标
【运行命令】pytest server/service/collab-service/tests/test_crdt.py -v</t>
        </is>
      </c>
      <c r="M34" s="2" t="inlineStr">
        <is>
          <t>CRDT协作引擎验收通过</t>
        </is>
      </c>
      <c r="N34" s="2" t="inlineStr"/>
    </row>
    <row r="35" ht="200" customHeight="1">
      <c r="A35" s="7" t="inlineStr">
        <is>
          <t>V20-COL-004</t>
        </is>
      </c>
      <c r="B35" s="7" t="inlineStr">
        <is>
          <t>协作权限管理 - 测试</t>
        </is>
      </c>
      <c r="C35" s="4" t="inlineStr">
        <is>
          <t>Red测试</t>
        </is>
      </c>
      <c r="D35" s="7" t="inlineStr">
        <is>
          <t>协作写作</t>
        </is>
      </c>
      <c r="E35" s="11" t="inlineStr">
        <is>
          <t>P2</t>
        </is>
      </c>
      <c r="F35" s="9" t="inlineStr">
        <is>
          <t>后端</t>
        </is>
      </c>
      <c r="G35" s="9" t="n">
        <v>1</v>
      </c>
      <c r="H35" s="9" t="inlineStr">
        <is>
          <t>2026-W43</t>
        </is>
      </c>
      <c r="I35" s="9" t="inlineStr">
        <is>
          <t>2026-W43</t>
        </is>
      </c>
      <c r="J35" s="7" t="inlineStr"/>
      <c r="K35" s="6" t="inlineStr">
        <is>
          <t>未开始</t>
        </is>
      </c>
      <c r="L35" s="7" t="inlineStr">
        <is>
          <t>【目标】编写协作权限管理测试
【测试文件路径】server/service/collab-service/tests/test_permissions.py
【测试用例清单】
1. test_add_collaborator：添加协作者
2. test_role_permissions：角色权限（ owner/editor/viewer）
3. test_remove_collaborator：移除协作者
【运行命令】pytest server/service/collab-service/tests/test_permissions.py -v</t>
        </is>
      </c>
      <c r="M35" s="7" t="inlineStr">
        <is>
          <t>3个权限管理测试用例通过</t>
        </is>
      </c>
      <c r="N35" s="7" t="inlineStr"/>
    </row>
    <row r="36" ht="200" customHeight="1">
      <c r="A36" s="2" t="inlineStr">
        <is>
          <t>V20-COL-005</t>
        </is>
      </c>
      <c r="B36" s="2" t="inlineStr">
        <is>
          <t>协作权限管理 - 实现</t>
        </is>
      </c>
      <c r="C36" s="8" t="inlineStr">
        <is>
          <t>Green实现</t>
        </is>
      </c>
      <c r="D36" s="2" t="inlineStr">
        <is>
          <t>协作写作</t>
        </is>
      </c>
      <c r="E36" s="11" t="inlineStr">
        <is>
          <t>P2</t>
        </is>
      </c>
      <c r="F36" s="5" t="inlineStr">
        <is>
          <t>后端</t>
        </is>
      </c>
      <c r="G36" s="5" t="n">
        <v>2</v>
      </c>
      <c r="H36" s="5" t="inlineStr">
        <is>
          <t>2026-W43</t>
        </is>
      </c>
      <c r="I36" s="5" t="inlineStr">
        <is>
          <t>2026-W43</t>
        </is>
      </c>
      <c r="J36" s="2" t="inlineStr">
        <is>
          <t>V20-COL-004</t>
        </is>
      </c>
      <c r="K36" s="6" t="inlineStr">
        <is>
          <t>未开始</t>
        </is>
      </c>
      <c r="L36" s="2" t="inlineStr">
        <is>
          <t>【目标】实现协作权限管理
【源文件路径】server/service/collab-service/internal/permissions.go
【实现步骤】
1. 角色：owner/editor/viewer
2. 权限矩阵：
   - owner: 所有权限
   - editor: 编辑+评论
   - viewer: 只读+评论
3. 邀请协作者（邮箱/链接）
4. 移除协作者
5. 权限变更实时通知
【运行命令】pytest server/service/collab-service/tests/test_permissions.py -v</t>
        </is>
      </c>
      <c r="M36" s="2" t="inlineStr">
        <is>
          <t>协作权限管理实现完成</t>
        </is>
      </c>
      <c r="N36" s="2" t="inlineStr"/>
    </row>
    <row r="37" ht="200" customHeight="1">
      <c r="A37" s="7" t="inlineStr">
        <is>
          <t>V20-COL-006</t>
        </is>
      </c>
      <c r="B37" s="7" t="inlineStr">
        <is>
          <t>协作权限管理 - 验收</t>
        </is>
      </c>
      <c r="C37" s="12" t="inlineStr">
        <is>
          <t>Acceptance验收</t>
        </is>
      </c>
      <c r="D37" s="7" t="inlineStr">
        <is>
          <t>协作写作</t>
        </is>
      </c>
      <c r="E37" s="11" t="inlineStr">
        <is>
          <t>P2</t>
        </is>
      </c>
      <c r="F37" s="9" t="inlineStr">
        <is>
          <t>后端</t>
        </is>
      </c>
      <c r="G37" s="9" t="n">
        <v>1</v>
      </c>
      <c r="H37" s="9" t="inlineStr">
        <is>
          <t>2026-W43</t>
        </is>
      </c>
      <c r="I37" s="9" t="inlineStr">
        <is>
          <t>2026-W43</t>
        </is>
      </c>
      <c r="J37" s="7" t="inlineStr">
        <is>
          <t>V20-COL-005</t>
        </is>
      </c>
      <c r="K37" s="6" t="inlineStr">
        <is>
          <t>未开始</t>
        </is>
      </c>
      <c r="L37" s="7" t="inlineStr">
        <is>
          <t>【目标】协作权限管理验收
【验收检查项】
□ 角色权限正确
□ 邀请/移除正常
□ 权限变更实时通知
【运行命令】pytest server/service/collab-service/tests/test_permissions.py -v</t>
        </is>
      </c>
      <c r="M37" s="7" t="inlineStr">
        <is>
          <t>协作权限管理验收通过</t>
        </is>
      </c>
      <c r="N37" s="7" t="inlineStr"/>
    </row>
    <row r="38" ht="200" customHeight="1">
      <c r="A38" s="2" t="inlineStr">
        <is>
          <t>V20-COL-007</t>
        </is>
      </c>
      <c r="B38" s="2" t="inlineStr">
        <is>
          <t>协作UI - 测试</t>
        </is>
      </c>
      <c r="C38" s="4" t="inlineStr">
        <is>
          <t>Red测试</t>
        </is>
      </c>
      <c r="D38" s="2" t="inlineStr">
        <is>
          <t>协作写作</t>
        </is>
      </c>
      <c r="E38" s="11" t="inlineStr">
        <is>
          <t>P2</t>
        </is>
      </c>
      <c r="F38" s="5" t="inlineStr">
        <is>
          <t>前端</t>
        </is>
      </c>
      <c r="G38" s="5" t="n">
        <v>1</v>
      </c>
      <c r="H38" s="5" t="inlineStr">
        <is>
          <t>2026-W44</t>
        </is>
      </c>
      <c r="I38" s="5" t="inlineStr">
        <is>
          <t>2026-W44</t>
        </is>
      </c>
      <c r="J38" s="2" t="inlineStr">
        <is>
          <t>V20-COL-003</t>
        </is>
      </c>
      <c r="K38" s="6" t="inlineStr">
        <is>
          <t>未开始</t>
        </is>
      </c>
      <c r="L38" s="2" t="inlineStr">
        <is>
          <t>【目标】编写协作UI测试
【测试文件路径】extensions/dw-collab/__tests__/CollabUI.test.ts
【测试用例清单】
1. test_cursor_display：显示协作者光标
2. test_selection_display：显示协作者选区
3. test_avatar_display：显示协作者头像
【运行命令】npx vitest run extensions/dw-collab/__tests__/CollabUI.test.ts</t>
        </is>
      </c>
      <c r="M38" s="2" t="inlineStr">
        <is>
          <t>3个协作UI测试用例通过</t>
        </is>
      </c>
      <c r="N38" s="2" t="inlineStr"/>
    </row>
    <row r="39" ht="200" customHeight="1">
      <c r="A39" s="7" t="inlineStr">
        <is>
          <t>V20-COL-008</t>
        </is>
      </c>
      <c r="B39" s="7" t="inlineStr">
        <is>
          <t>协作UI - 实现</t>
        </is>
      </c>
      <c r="C39" s="8" t="inlineStr">
        <is>
          <t>Green实现</t>
        </is>
      </c>
      <c r="D39" s="7" t="inlineStr">
        <is>
          <t>协作写作</t>
        </is>
      </c>
      <c r="E39" s="11" t="inlineStr">
        <is>
          <t>P2</t>
        </is>
      </c>
      <c r="F39" s="9" t="inlineStr">
        <is>
          <t>前端</t>
        </is>
      </c>
      <c r="G39" s="9" t="n">
        <v>3</v>
      </c>
      <c r="H39" s="9" t="inlineStr">
        <is>
          <t>2026-W44</t>
        </is>
      </c>
      <c r="I39" s="9" t="inlineStr">
        <is>
          <t>2026-W44</t>
        </is>
      </c>
      <c r="J39" s="7" t="inlineStr">
        <is>
          <t>V20-COL-007</t>
        </is>
      </c>
      <c r="K39" s="6" t="inlineStr">
        <is>
          <t>未开始</t>
        </is>
      </c>
      <c r="L39" s="7" t="inlineStr">
        <is>
          <t>【目标】实现协作UI（光标/选区/头像）
【源文件路径】extensions/dw-collab/src/CollabEditor.ts
【实现步骤】
1. 协作者光标显示：
   - 不同颜色区分
   - 显示用户名标签
   - 实时更新位置
2. 协作者选区显示：
   - 半透明背景色
   - 实时更新
3. 协作者头像：
   - 右上角显示在线用户头像列表
   - 头像颜色与光标颜色一致
4. WebSocket连接管理：
   - 自动连接/断线重连
   - 连接状态指示
【运行命令】npx vitest run extensions/dw-collab/__tests__/CollabUI.test.ts</t>
        </is>
      </c>
      <c r="M39" s="7" t="inlineStr">
        <is>
          <t>协作UI实现完成</t>
        </is>
      </c>
      <c r="N39" s="7" t="inlineStr"/>
    </row>
    <row r="40" ht="200" customHeight="1">
      <c r="A40" s="2" t="inlineStr">
        <is>
          <t>V20-COL-009</t>
        </is>
      </c>
      <c r="B40" s="2" t="inlineStr">
        <is>
          <t>协作UI - 验收</t>
        </is>
      </c>
      <c r="C40" s="12" t="inlineStr">
        <is>
          <t>Acceptance验收</t>
        </is>
      </c>
      <c r="D40" s="2" t="inlineStr">
        <is>
          <t>协作写作</t>
        </is>
      </c>
      <c r="E40" s="11" t="inlineStr">
        <is>
          <t>P2</t>
        </is>
      </c>
      <c r="F40" s="5" t="inlineStr">
        <is>
          <t>前端</t>
        </is>
      </c>
      <c r="G40" s="5" t="n">
        <v>1</v>
      </c>
      <c r="H40" s="5" t="inlineStr">
        <is>
          <t>2026-W44</t>
        </is>
      </c>
      <c r="I40" s="5" t="inlineStr">
        <is>
          <t>2026-W44</t>
        </is>
      </c>
      <c r="J40" s="2" t="inlineStr">
        <is>
          <t>V20-COL-008</t>
        </is>
      </c>
      <c r="K40" s="6" t="inlineStr">
        <is>
          <t>未开始</t>
        </is>
      </c>
      <c r="L40" s="2" t="inlineStr">
        <is>
          <t>【目标】协作UI验收
【测试场景】
1. 2人同时编辑 → 各自光标和选区正确显示
2. 在线用户列表 → 头像和名称正确
3. 断线重连 → UI状态恢复
【验收检查项】
□ 光标显示正确
□ 选区显示正确
□ 头像列表正确
□ 连接状态正确
【运行命令】F5启动Extension Development Host</t>
        </is>
      </c>
      <c r="M40" s="2" t="inlineStr">
        <is>
          <t>协作UI验收通过</t>
        </is>
      </c>
      <c r="N40" s="2" t="inlineStr"/>
    </row>
    <row r="41" ht="200" customHeight="1">
      <c r="A41" s="7" t="inlineStr">
        <is>
          <t>V20-COV-001</t>
        </is>
      </c>
      <c r="B41" s="7" t="inlineStr">
        <is>
          <t>AI图像生成集成 - 测试</t>
        </is>
      </c>
      <c r="C41" s="4" t="inlineStr">
        <is>
          <t>Red测试</t>
        </is>
      </c>
      <c r="D41" s="7" t="inlineStr">
        <is>
          <t>封面生成</t>
        </is>
      </c>
      <c r="E41" s="11" t="inlineStr">
        <is>
          <t>P2</t>
        </is>
      </c>
      <c r="F41" s="9" t="inlineStr">
        <is>
          <t>AI工程师</t>
        </is>
      </c>
      <c r="G41" s="9" t="n">
        <v>1</v>
      </c>
      <c r="H41" s="9" t="inlineStr">
        <is>
          <t>2026-W44</t>
        </is>
      </c>
      <c r="I41" s="9" t="inlineStr">
        <is>
          <t>2026-W44</t>
        </is>
      </c>
      <c r="J41" s="7" t="inlineStr"/>
      <c r="K41" s="6" t="inlineStr">
        <is>
          <t>未开始</t>
        </is>
      </c>
      <c r="L41" s="7" t="inlineStr">
        <is>
          <t>【目标】编写AI图像生成测试
【测试文件路径】ai-service/tests/services/test_image_gen.py
【测试用例清单】
1. test_generate_cover：生成封面图 → 返回图片URL
2. test_style_transfer：风格迁移 → 正确
3. test_text_overlay：文字叠加 → 正确
【运行命令】pytest ai-service/tests/services/test_image_gen.py -v</t>
        </is>
      </c>
      <c r="M41" s="7" t="inlineStr">
        <is>
          <t>3个图像生成测试用例通过</t>
        </is>
      </c>
      <c r="N41" s="7" t="inlineStr"/>
    </row>
    <row r="42" ht="200" customHeight="1">
      <c r="A42" s="2" t="inlineStr">
        <is>
          <t>V20-COV-002</t>
        </is>
      </c>
      <c r="B42" s="2" t="inlineStr">
        <is>
          <t>AI图像生成集成 - 实现</t>
        </is>
      </c>
      <c r="C42" s="8" t="inlineStr">
        <is>
          <t>Green实现</t>
        </is>
      </c>
      <c r="D42" s="2" t="inlineStr">
        <is>
          <t>封面生成</t>
        </is>
      </c>
      <c r="E42" s="11" t="inlineStr">
        <is>
          <t>P2</t>
        </is>
      </c>
      <c r="F42" s="5" t="inlineStr">
        <is>
          <t>AI工程师</t>
        </is>
      </c>
      <c r="G42" s="5" t="n">
        <v>3</v>
      </c>
      <c r="H42" s="5" t="inlineStr">
        <is>
          <t>2026-W44</t>
        </is>
      </c>
      <c r="I42" s="5" t="inlineStr">
        <is>
          <t>2026-W44</t>
        </is>
      </c>
      <c r="J42" s="2" t="inlineStr">
        <is>
          <t>V20-COV-001</t>
        </is>
      </c>
      <c r="K42" s="6" t="inlineStr">
        <is>
          <t>未开始</t>
        </is>
      </c>
      <c r="L42" s="2" t="inlineStr">
        <is>
          <t>【目标】实现AI图像生成集成
【源文件路径】ai-service/app/services/image_generator.py
【实现步骤】
1. 集成DALL-E 3 / Midjourney API / Stable Diffusion
2. 实现generate_cover(prompt, style, size)：
   - 根据作品类型生成封面
   - 支持多种风格（写实/插画/水墨/动漫）
3. 风格迁移：将生成图片转为指定风格
4. 文字叠加：将作品标题叠加到封面
5. 图片存储到OSS/S3
【运行命令】pytest ai-service/tests/services/test_image_gen.py -v</t>
        </is>
      </c>
      <c r="M42" s="2" t="inlineStr">
        <is>
          <t>AI图像生成集成实现完成</t>
        </is>
      </c>
      <c r="N42" s="2" t="inlineStr"/>
    </row>
    <row r="43" ht="200" customHeight="1">
      <c r="A43" s="7" t="inlineStr">
        <is>
          <t>V20-COV-003</t>
        </is>
      </c>
      <c r="B43" s="7" t="inlineStr">
        <is>
          <t>AI图像生成集成 - 验收</t>
        </is>
      </c>
      <c r="C43" s="12" t="inlineStr">
        <is>
          <t>Acceptance验收</t>
        </is>
      </c>
      <c r="D43" s="7" t="inlineStr">
        <is>
          <t>封面生成</t>
        </is>
      </c>
      <c r="E43" s="11" t="inlineStr">
        <is>
          <t>P2</t>
        </is>
      </c>
      <c r="F43" s="9" t="inlineStr">
        <is>
          <t>AI工程师</t>
        </is>
      </c>
      <c r="G43" s="9" t="n">
        <v>1</v>
      </c>
      <c r="H43" s="9" t="inlineStr">
        <is>
          <t>2026-W44</t>
        </is>
      </c>
      <c r="I43" s="9" t="inlineStr">
        <is>
          <t>2026-W44</t>
        </is>
      </c>
      <c r="J43" s="7" t="inlineStr">
        <is>
          <t>V20-COV-002</t>
        </is>
      </c>
      <c r="K43" s="6" t="inlineStr">
        <is>
          <t>未开始</t>
        </is>
      </c>
      <c r="L43" s="7" t="inlineStr">
        <is>
          <t>【目标】AI图像生成验收
【验收检查项】
□ 封面生成质量可接受
□ 风格迁移正确
□ 文字叠加正确
□ 生成时间&lt;30s
【运行命令】pytest ai-service/tests/services/test_image_gen.py -v</t>
        </is>
      </c>
      <c r="M43" s="7" t="inlineStr">
        <is>
          <t>AI图像生成验收通过</t>
        </is>
      </c>
      <c r="N43" s="7" t="inlineStr"/>
    </row>
    <row r="44" ht="200" customHeight="1">
      <c r="A44" s="2" t="inlineStr">
        <is>
          <t>V20-COV-004</t>
        </is>
      </c>
      <c r="B44" s="2" t="inlineStr">
        <is>
          <t>封面编辑器 - 测试</t>
        </is>
      </c>
      <c r="C44" s="4" t="inlineStr">
        <is>
          <t>Red测试</t>
        </is>
      </c>
      <c r="D44" s="2" t="inlineStr">
        <is>
          <t>封面生成</t>
        </is>
      </c>
      <c r="E44" s="11" t="inlineStr">
        <is>
          <t>P2</t>
        </is>
      </c>
      <c r="F44" s="5" t="inlineStr">
        <is>
          <t>前端</t>
        </is>
      </c>
      <c r="G44" s="5" t="n">
        <v>1</v>
      </c>
      <c r="H44" s="5" t="inlineStr">
        <is>
          <t>2026-W45</t>
        </is>
      </c>
      <c r="I44" s="5" t="inlineStr">
        <is>
          <t>2026-W45</t>
        </is>
      </c>
      <c r="J44" s="2" t="inlineStr">
        <is>
          <t>V20-COV-002</t>
        </is>
      </c>
      <c r="K44" s="6" t="inlineStr">
        <is>
          <t>未开始</t>
        </is>
      </c>
      <c r="L44" s="2" t="inlineStr">
        <is>
          <t>【目标】编写封面编辑器测试
【测试文件路径】extensions/dw-cover-editor/__tests__/CoverEditor.test.ts
【测试用例清单】
1. test_render_editor：编辑器渲染
2. test_text_edit：文字编辑
3. test_style_change：风格切换
【运行命令】npx vitest run extensions/dw-cover-editor/__tests__/CoverEditor.test.ts</t>
        </is>
      </c>
      <c r="M44" s="2" t="inlineStr">
        <is>
          <t>3个封面编辑器测试用例通过</t>
        </is>
      </c>
      <c r="N44" s="2" t="inlineStr"/>
    </row>
    <row r="45" ht="200" customHeight="1">
      <c r="A45" s="7" t="inlineStr">
        <is>
          <t>V20-COV-005</t>
        </is>
      </c>
      <c r="B45" s="7" t="inlineStr">
        <is>
          <t>封面编辑器 - 实现</t>
        </is>
      </c>
      <c r="C45" s="8" t="inlineStr">
        <is>
          <t>Green实现</t>
        </is>
      </c>
      <c r="D45" s="7" t="inlineStr">
        <is>
          <t>封面生成</t>
        </is>
      </c>
      <c r="E45" s="11" t="inlineStr">
        <is>
          <t>P2</t>
        </is>
      </c>
      <c r="F45" s="9" t="inlineStr">
        <is>
          <t>前端</t>
        </is>
      </c>
      <c r="G45" s="9" t="n">
        <v>3</v>
      </c>
      <c r="H45" s="9" t="inlineStr">
        <is>
          <t>2026-W45</t>
        </is>
      </c>
      <c r="I45" s="9" t="inlineStr">
        <is>
          <t>2026-W45</t>
        </is>
      </c>
      <c r="J45" s="7" t="inlineStr">
        <is>
          <t>V20-COV-004</t>
        </is>
      </c>
      <c r="K45" s="6" t="inlineStr">
        <is>
          <t>未开始</t>
        </is>
      </c>
      <c r="L45" s="7" t="inlineStr">
        <is>
          <t>【目标】实现封面编辑器
【源文件路径】extensions/dw-cover-editor/src/webview/CoverEditor.ts
【实现步骤】
1. Canvas画布编辑器
2. 功能：
   - 拖拽文字位置
   - 调整字体/大小/颜色
   - 背景图选择/上传
   - 滤镜效果
   - 图层管理
3. 预设模板
4. 导出为PNG/JPG
【运行命令】npx vitest run extensions/dw-cover-editor/__tests__/CoverEditor.test.ts</t>
        </is>
      </c>
      <c r="M45" s="7" t="inlineStr">
        <is>
          <t>封面编辑器实现完成</t>
        </is>
      </c>
      <c r="N45" s="7" t="inlineStr"/>
    </row>
    <row r="46" ht="200" customHeight="1">
      <c r="A46" s="2" t="inlineStr">
        <is>
          <t>V20-COV-006</t>
        </is>
      </c>
      <c r="B46" s="2" t="inlineStr">
        <is>
          <t>封面编辑器 - 验收</t>
        </is>
      </c>
      <c r="C46" s="12" t="inlineStr">
        <is>
          <t>Acceptance验收</t>
        </is>
      </c>
      <c r="D46" s="2" t="inlineStr">
        <is>
          <t>封面生成</t>
        </is>
      </c>
      <c r="E46" s="11" t="inlineStr">
        <is>
          <t>P2</t>
        </is>
      </c>
      <c r="F46" s="5" t="inlineStr">
        <is>
          <t>前端</t>
        </is>
      </c>
      <c r="G46" s="5" t="n">
        <v>1</v>
      </c>
      <c r="H46" s="5" t="inlineStr">
        <is>
          <t>2026-W45</t>
        </is>
      </c>
      <c r="I46" s="5" t="inlineStr">
        <is>
          <t>2026-W45</t>
        </is>
      </c>
      <c r="J46" s="2" t="inlineStr">
        <is>
          <t>V20-COV-005</t>
        </is>
      </c>
      <c r="K46" s="6" t="inlineStr">
        <is>
          <t>未开始</t>
        </is>
      </c>
      <c r="L46" s="2" t="inlineStr">
        <is>
          <t>【目标】封面编辑器验收
【验收检查项】
□ 编辑器渲染正确
□ 文字编辑可用
□ 风格切换正常
□ 导出功能正常
【运行命令】F5启动Extension Development Host</t>
        </is>
      </c>
      <c r="M46" s="2" t="inlineStr">
        <is>
          <t>封面编辑器验收通过</t>
        </is>
      </c>
      <c r="N46" s="2" t="inlineStr"/>
    </row>
    <row r="47" ht="200" customHeight="1">
      <c r="A47" s="7" t="inlineStr">
        <is>
          <t>V20-FRK-001</t>
        </is>
      </c>
      <c r="B47" s="7" t="inlineStr">
        <is>
          <t>自定义TextModel - 测试</t>
        </is>
      </c>
      <c r="C47" s="4" t="inlineStr">
        <is>
          <t>Red测试</t>
        </is>
      </c>
      <c r="D47" s="7" t="inlineStr">
        <is>
          <t>深度Fork</t>
        </is>
      </c>
      <c r="E47" s="11" t="inlineStr">
        <is>
          <t>P2</t>
        </is>
      </c>
      <c r="F47" s="9" t="inlineStr">
        <is>
          <t>前端</t>
        </is>
      </c>
      <c r="G47" s="9" t="n">
        <v>1</v>
      </c>
      <c r="H47" s="9" t="inlineStr">
        <is>
          <t>2026-W46</t>
        </is>
      </c>
      <c r="I47" s="9" t="inlineStr">
        <is>
          <t>2026-W46</t>
        </is>
      </c>
      <c r="J47" s="7" t="inlineStr">
        <is>
          <t>V15-FRK-009</t>
        </is>
      </c>
      <c r="K47" s="6" t="inlineStr">
        <is>
          <t>未开始</t>
        </is>
      </c>
      <c r="L47" s="7" t="inlineStr">
        <is>
          <t>【目标】编写自定义TextModel测试
【测试文件路径】extensions/dw-core/__tests__/TextModel.test.ts
【测试用例清单】
1. test_chapter_model：章节模型正确
2. test_branch_switch：分支切换时模型更新
3. test_version_history：版本历史集成
【运行命令】npx vitest run extensions/dw-core/__tests__/TextModel.test.ts</t>
        </is>
      </c>
      <c r="M47" s="7" t="inlineStr">
        <is>
          <t>3个TextModel测试用例通过</t>
        </is>
      </c>
      <c r="N47" s="7" t="inlineStr"/>
    </row>
    <row r="48" ht="200" customHeight="1">
      <c r="A48" s="2" t="inlineStr">
        <is>
          <t>V20-FRK-002</t>
        </is>
      </c>
      <c r="B48" s="2" t="inlineStr">
        <is>
          <t>自定义TextModel - 实现</t>
        </is>
      </c>
      <c r="C48" s="8" t="inlineStr">
        <is>
          <t>Green实现</t>
        </is>
      </c>
      <c r="D48" s="2" t="inlineStr">
        <is>
          <t>深度Fork</t>
        </is>
      </c>
      <c r="E48" s="11" t="inlineStr">
        <is>
          <t>P2</t>
        </is>
      </c>
      <c r="F48" s="5" t="inlineStr">
        <is>
          <t>前端</t>
        </is>
      </c>
      <c r="G48" s="5" t="n">
        <v>5</v>
      </c>
      <c r="H48" s="5" t="inlineStr">
        <is>
          <t>2026-W46</t>
        </is>
      </c>
      <c r="I48" s="5" t="inlineStr">
        <is>
          <t>2026-W47</t>
        </is>
      </c>
      <c r="J48" s="2" t="inlineStr">
        <is>
          <t>V20-FRK-001</t>
        </is>
      </c>
      <c r="K48" s="6" t="inlineStr">
        <is>
          <t>未开始</t>
        </is>
      </c>
      <c r="L48" s="2" t="inlineStr">
        <is>
          <t>【目标】实现自定义TextModel
【源文件路径】src/vs/editor/common/model/dreamweaverTextModel.ts
【实现步骤】
1. 继承vscode.TextModel
2. 添加小说创作特有功能：
   - 章节管理（章节边界标记）
   - 分支感知（知道当前属于哪个分支）
   - 版本快照集成
   - 字数统计（中文字数精确计算）
3. 修改保存逻辑：
   - 保存时自动创建版本快照
   - 保存时触发实体提取
   - 保存时触发一致性检查
4. 自定义Undo/Redo栈
【运行命令】yarn watch</t>
        </is>
      </c>
      <c r="M48" s="2" t="inlineStr">
        <is>
          <t>自定义TextModel实现完成</t>
        </is>
      </c>
      <c r="N48" s="2" t="inlineStr"/>
    </row>
    <row r="49" ht="200" customHeight="1">
      <c r="A49" s="7" t="inlineStr">
        <is>
          <t>V20-FRK-003</t>
        </is>
      </c>
      <c r="B49" s="7" t="inlineStr">
        <is>
          <t>自定义TextModel - 验收</t>
        </is>
      </c>
      <c r="C49" s="12" t="inlineStr">
        <is>
          <t>Acceptance验收</t>
        </is>
      </c>
      <c r="D49" s="7" t="inlineStr">
        <is>
          <t>深度Fork</t>
        </is>
      </c>
      <c r="E49" s="11" t="inlineStr">
        <is>
          <t>P2</t>
        </is>
      </c>
      <c r="F49" s="9" t="inlineStr">
        <is>
          <t>前端</t>
        </is>
      </c>
      <c r="G49" s="9" t="n">
        <v>1</v>
      </c>
      <c r="H49" s="9" t="inlineStr">
        <is>
          <t>2026-W47</t>
        </is>
      </c>
      <c r="I49" s="9" t="inlineStr">
        <is>
          <t>2026-W47</t>
        </is>
      </c>
      <c r="J49" s="7" t="inlineStr">
        <is>
          <t>V20-FRK-002</t>
        </is>
      </c>
      <c r="K49" s="6" t="inlineStr">
        <is>
          <t>未开始</t>
        </is>
      </c>
      <c r="L49" s="7" t="inlineStr">
        <is>
          <t>【目标】自定义TextModel验收
【验收检查项】
□ 章节管理正确
□ 分支切换更新
□ 版本快照集成
□ 字数统计准确
【运行命令】yarn watch &amp;&amp; yarn electron</t>
        </is>
      </c>
      <c r="M49" s="7" t="inlineStr">
        <is>
          <t>自定义TextModel验收通过</t>
        </is>
      </c>
      <c r="N49" s="7" t="inlineStr"/>
    </row>
    <row r="50" ht="200" customHeight="1">
      <c r="A50" s="2" t="inlineStr">
        <is>
          <t>V20-FRK-004</t>
        </is>
      </c>
      <c r="B50" s="2" t="inlineStr">
        <is>
          <t>编辑器装饰器 - 测试</t>
        </is>
      </c>
      <c r="C50" s="4" t="inlineStr">
        <is>
          <t>Red测试</t>
        </is>
      </c>
      <c r="D50" s="2" t="inlineStr">
        <is>
          <t>深度Fork</t>
        </is>
      </c>
      <c r="E50" s="11" t="inlineStr">
        <is>
          <t>P2</t>
        </is>
      </c>
      <c r="F50" s="5" t="inlineStr">
        <is>
          <t>前端</t>
        </is>
      </c>
      <c r="G50" s="5" t="n">
        <v>1</v>
      </c>
      <c r="H50" s="5" t="inlineStr">
        <is>
          <t>2026-W47</t>
        </is>
      </c>
      <c r="I50" s="5" t="inlineStr">
        <is>
          <t>2026-W47</t>
        </is>
      </c>
      <c r="J50" s="2" t="inlineStr">
        <is>
          <t>V20-FRK-002</t>
        </is>
      </c>
      <c r="K50" s="6" t="inlineStr">
        <is>
          <t>未开始</t>
        </is>
      </c>
      <c r="L50" s="2" t="inlineStr">
        <is>
          <t>【目标】编写编辑器装饰器测试
【测试文件路径】extensions/dw-core/__tests__/Decorations.test.ts
【测试用例清单】
1. test_ai_completion_marker：AI补全标记
2. test_consistency_marker：一致性标记
3. test_foreshadow_marker：伏笔标记
【运行命令】npx vitest run extensions/dw-core/__tests__/Decorations.test.ts</t>
        </is>
      </c>
      <c r="M50" s="2" t="inlineStr">
        <is>
          <t>3个装饰器测试用例通过</t>
        </is>
      </c>
      <c r="N50" s="2" t="inlineStr"/>
    </row>
    <row r="51" ht="200" customHeight="1">
      <c r="A51" s="7" t="inlineStr">
        <is>
          <t>V20-FRK-005</t>
        </is>
      </c>
      <c r="B51" s="7" t="inlineStr">
        <is>
          <t>编辑器装饰器 - 实现</t>
        </is>
      </c>
      <c r="C51" s="8" t="inlineStr">
        <is>
          <t>Green实现</t>
        </is>
      </c>
      <c r="D51" s="7" t="inlineStr">
        <is>
          <t>深度Fork</t>
        </is>
      </c>
      <c r="E51" s="11" t="inlineStr">
        <is>
          <t>P2</t>
        </is>
      </c>
      <c r="F51" s="9" t="inlineStr">
        <is>
          <t>前端</t>
        </is>
      </c>
      <c r="G51" s="9" t="n">
        <v>3</v>
      </c>
      <c r="H51" s="9" t="inlineStr">
        <is>
          <t>2026-W47</t>
        </is>
      </c>
      <c r="I51" s="9" t="inlineStr">
        <is>
          <t>2026-W47</t>
        </is>
      </c>
      <c r="J51" s="7" t="inlineStr">
        <is>
          <t>V20-FRK-004</t>
        </is>
      </c>
      <c r="K51" s="6" t="inlineStr">
        <is>
          <t>未开始</t>
        </is>
      </c>
      <c r="L51" s="7" t="inlineStr">
        <is>
          <t>【目标】实现编辑器装饰器
【源文件路径】extensions/dw-core/src/decorations/
【实现步骤】
1. AI补全标记：灰色虚线下划线标记AI生成的内容
2. 一致性标记：
   - Error: 红色波浪线
   - Warning: 黄色波浪线
   - Info: 蓝色虚线
3. 伏笔标记：绿色高亮标记伏笔位置
4. 角色名高亮：知识库角色名特殊颜色
5. 装饰器管理：统一注册和更新
【运行命令】npx vitest run extensions/dw-core/__tests__/Decorations.test.ts</t>
        </is>
      </c>
      <c r="M51" s="7" t="inlineStr">
        <is>
          <t>编辑器装饰器实现完成</t>
        </is>
      </c>
      <c r="N51" s="7" t="inlineStr"/>
    </row>
    <row r="52" ht="200" customHeight="1">
      <c r="A52" s="2" t="inlineStr">
        <is>
          <t>V20-FRK-006</t>
        </is>
      </c>
      <c r="B52" s="2" t="inlineStr">
        <is>
          <t>编辑器装饰器 - 验收</t>
        </is>
      </c>
      <c r="C52" s="12" t="inlineStr">
        <is>
          <t>Acceptance验收</t>
        </is>
      </c>
      <c r="D52" s="2" t="inlineStr">
        <is>
          <t>深度Fork</t>
        </is>
      </c>
      <c r="E52" s="11" t="inlineStr">
        <is>
          <t>P2</t>
        </is>
      </c>
      <c r="F52" s="5" t="inlineStr">
        <is>
          <t>前端</t>
        </is>
      </c>
      <c r="G52" s="5" t="n">
        <v>1</v>
      </c>
      <c r="H52" s="5" t="inlineStr">
        <is>
          <t>2026-W47</t>
        </is>
      </c>
      <c r="I52" s="5" t="inlineStr">
        <is>
          <t>2026-W47</t>
        </is>
      </c>
      <c r="J52" s="2" t="inlineStr">
        <is>
          <t>V20-FRK-005</t>
        </is>
      </c>
      <c r="K52" s="6" t="inlineStr">
        <is>
          <t>未开始</t>
        </is>
      </c>
      <c r="L52" s="2" t="inlineStr">
        <is>
          <t>【目标】编辑器装饰器验收
【验收检查项】
□ AI补全标记正确
□ 一致性标记颜色正确
□ 伏笔标记正确
□ 角色名高亮正确
□ 性能不影响编辑
【运行命令】yarn watch &amp;&amp; yarn electron</t>
        </is>
      </c>
      <c r="M52" s="2" t="inlineStr">
        <is>
          <t>编辑器装饰器验收通过</t>
        </is>
      </c>
      <c r="N52" s="2" t="inlineStr"/>
    </row>
    <row r="53" ht="200" customHeight="1">
      <c r="A53" s="7" t="inlineStr">
        <is>
          <t>V20-FRK-007</t>
        </is>
      </c>
      <c r="B53" s="7" t="inlineStr">
        <is>
          <t>自定义Diff Provider - 测试</t>
        </is>
      </c>
      <c r="C53" s="4" t="inlineStr">
        <is>
          <t>Red测试</t>
        </is>
      </c>
      <c r="D53" s="7" t="inlineStr">
        <is>
          <t>深度Fork</t>
        </is>
      </c>
      <c r="E53" s="11" t="inlineStr">
        <is>
          <t>P2</t>
        </is>
      </c>
      <c r="F53" s="9" t="inlineStr">
        <is>
          <t>前端</t>
        </is>
      </c>
      <c r="G53" s="9" t="n">
        <v>1</v>
      </c>
      <c r="H53" s="9" t="inlineStr">
        <is>
          <t>2026-W48</t>
        </is>
      </c>
      <c r="I53" s="9" t="inlineStr">
        <is>
          <t>2026-W48</t>
        </is>
      </c>
      <c r="J53" s="7" t="inlineStr">
        <is>
          <t>V15-MRG-003</t>
        </is>
      </c>
      <c r="K53" s="6" t="inlineStr">
        <is>
          <t>未开始</t>
        </is>
      </c>
      <c r="L53" s="7" t="inlineStr">
        <is>
          <t>【目标】编写自定义Diff Provider测试
【测试文件路径】extensions/dw-core/__tests__/DiffProvider.test.ts
【测试用例清单】
1. test_branch_diff：分支对比 → 正确显示差异
2. test_version_diff：版本对比 → 正确
3. test_conflict_display：冲突显示 → 清晰
【运行命令】npx vitest run extensions/dw-core/__tests__/DiffProvider.test.ts</t>
        </is>
      </c>
      <c r="M53" s="7" t="inlineStr">
        <is>
          <t>3个Diff Provider测试用例通过</t>
        </is>
      </c>
      <c r="N53" s="7" t="inlineStr"/>
    </row>
    <row r="54" ht="200" customHeight="1">
      <c r="A54" s="2" t="inlineStr">
        <is>
          <t>V20-FRK-008</t>
        </is>
      </c>
      <c r="B54" s="2" t="inlineStr">
        <is>
          <t>自定义Diff Provider - 实现</t>
        </is>
      </c>
      <c r="C54" s="8" t="inlineStr">
        <is>
          <t>Green实现</t>
        </is>
      </c>
      <c r="D54" s="2" t="inlineStr">
        <is>
          <t>深度Fork</t>
        </is>
      </c>
      <c r="E54" s="11" t="inlineStr">
        <is>
          <t>P2</t>
        </is>
      </c>
      <c r="F54" s="5" t="inlineStr">
        <is>
          <t>前端</t>
        </is>
      </c>
      <c r="G54" s="5" t="n">
        <v>3</v>
      </c>
      <c r="H54" s="5" t="inlineStr">
        <is>
          <t>2026-W48</t>
        </is>
      </c>
      <c r="I54" s="5" t="inlineStr">
        <is>
          <t>2026-W48</t>
        </is>
      </c>
      <c r="J54" s="2" t="inlineStr">
        <is>
          <t>V20-FRK-007</t>
        </is>
      </c>
      <c r="K54" s="6" t="inlineStr">
        <is>
          <t>未开始</t>
        </is>
      </c>
      <c r="L54" s="2" t="inlineStr">
        <is>
          <t>【目标】实现自定义Diff Provider
【源文件路径】extensions/dw-core/src/BranchDiffProvider.ts
【实现步骤】
1. 注册DocumentDiffProvider
2. 分支对比：
   - 左侧：分支A内容
   - 右侧：分支B内容
   - 内联差异高亮
3. 版本对比：
   - 选择两个版本进行对比
   - 显示新增/删除/修改
4. 冲突区域特殊标记
5. 与分支合并UI集成
【运行命令】npx vitest run extensions/dw-core/__tests__/DiffProvider.test.ts</t>
        </is>
      </c>
      <c r="M54" s="2" t="inlineStr">
        <is>
          <t>自定义Diff Provider实现完成</t>
        </is>
      </c>
      <c r="N54" s="2" t="inlineStr"/>
    </row>
    <row r="55" ht="200" customHeight="1">
      <c r="A55" s="7" t="inlineStr">
        <is>
          <t>V20-FRK-009</t>
        </is>
      </c>
      <c r="B55" s="7" t="inlineStr">
        <is>
          <t>自定义Diff Provider - 验收</t>
        </is>
      </c>
      <c r="C55" s="12" t="inlineStr">
        <is>
          <t>Acceptance验收</t>
        </is>
      </c>
      <c r="D55" s="7" t="inlineStr">
        <is>
          <t>深度Fork</t>
        </is>
      </c>
      <c r="E55" s="11" t="inlineStr">
        <is>
          <t>P2</t>
        </is>
      </c>
      <c r="F55" s="9" t="inlineStr">
        <is>
          <t>前端</t>
        </is>
      </c>
      <c r="G55" s="9" t="n">
        <v>1</v>
      </c>
      <c r="H55" s="9" t="inlineStr">
        <is>
          <t>2026-W48</t>
        </is>
      </c>
      <c r="I55" s="9" t="inlineStr">
        <is>
          <t>2026-W48</t>
        </is>
      </c>
      <c r="J55" s="7" t="inlineStr">
        <is>
          <t>V20-FRK-008</t>
        </is>
      </c>
      <c r="K55" s="6" t="inlineStr">
        <is>
          <t>未开始</t>
        </is>
      </c>
      <c r="L55" s="7" t="inlineStr">
        <is>
          <t>【目标】自定义Diff Provider验收
【验收检查项】
□ 分支对比正确
□ 版本对比正确
□ 冲突显示清晰
□ 性能可接受（100K字&lt;2s）
【运行命令】yarn watch &amp;&amp; yarn electron</t>
        </is>
      </c>
      <c r="M55" s="7" t="inlineStr">
        <is>
          <t>自定义Diff Provider验收通过</t>
        </is>
      </c>
      <c r="N55" s="7" t="inlineStr"/>
    </row>
    <row r="56" ht="200" customHeight="1">
      <c r="A56" s="2" t="inlineStr">
        <is>
          <t>V20-PER-001</t>
        </is>
      </c>
      <c r="B56" s="2" t="inlineStr">
        <is>
          <t>大文件编辑优化 - 测试</t>
        </is>
      </c>
      <c r="C56" s="4" t="inlineStr">
        <is>
          <t>Red测试</t>
        </is>
      </c>
      <c r="D56" s="2" t="inlineStr">
        <is>
          <t>性能优化</t>
        </is>
      </c>
      <c r="E56" s="11" t="inlineStr">
        <is>
          <t>P2</t>
        </is>
      </c>
      <c r="F56" s="5" t="inlineStr">
        <is>
          <t>前端</t>
        </is>
      </c>
      <c r="G56" s="5" t="n">
        <v>1</v>
      </c>
      <c r="H56" s="5" t="inlineStr">
        <is>
          <t>2026-W49</t>
        </is>
      </c>
      <c r="I56" s="5" t="inlineStr">
        <is>
          <t>2026-W49</t>
        </is>
      </c>
      <c r="J56" s="2" t="inlineStr"/>
      <c r="K56" s="6" t="inlineStr">
        <is>
          <t>未开始</t>
        </is>
      </c>
      <c r="L56" s="2" t="inlineStr">
        <is>
          <t>【目标】编写大文件编辑优化测试
【测试文件路径】extensions/dw-core/__tests__/LargeFileOptimization.test.ts
【测试用例清单】
1. test_virtual_rendering_100k：10万字虚拟渲染 → FPS≥30
2. test_lazy_loading：懒加载 → 内存占用&lt;500MB
3. test_incremental_parsing：增量解析 → 响应&lt;50ms
【运行命令】npx vitest run extensions/dw-core/__tests__/LargeFileOptimization.test.ts</t>
        </is>
      </c>
      <c r="M56" s="2" t="inlineStr">
        <is>
          <t>3个大文件优化测试用例通过</t>
        </is>
      </c>
      <c r="N56" s="2" t="inlineStr"/>
    </row>
    <row r="57" ht="200" customHeight="1">
      <c r="A57" s="7" t="inlineStr">
        <is>
          <t>V20-PER-002</t>
        </is>
      </c>
      <c r="B57" s="7" t="inlineStr">
        <is>
          <t>大文件编辑优化 - 实现</t>
        </is>
      </c>
      <c r="C57" s="8" t="inlineStr">
        <is>
          <t>Green实现</t>
        </is>
      </c>
      <c r="D57" s="7" t="inlineStr">
        <is>
          <t>性能优化</t>
        </is>
      </c>
      <c r="E57" s="11" t="inlineStr">
        <is>
          <t>P2</t>
        </is>
      </c>
      <c r="F57" s="9" t="inlineStr">
        <is>
          <t>前端</t>
        </is>
      </c>
      <c r="G57" s="9" t="n">
        <v>3</v>
      </c>
      <c r="H57" s="9" t="inlineStr">
        <is>
          <t>2026-W49</t>
        </is>
      </c>
      <c r="I57" s="9" t="inlineStr">
        <is>
          <t>2026-W49</t>
        </is>
      </c>
      <c r="J57" s="7" t="inlineStr">
        <is>
          <t>V20-PER-001</t>
        </is>
      </c>
      <c r="K57" s="6" t="inlineStr">
        <is>
          <t>未开始</t>
        </is>
      </c>
      <c r="L57" s="7" t="inlineStr">
        <is>
          <t>【目标】实现大文件编辑优化
【源文件路径】src/vs/editor/, extensions/dw-core/src/performance/
【实现步骤】
1. 虚拟渲染：只渲染可视区域的行
2. 懒加载：非活跃章节延迟加载
3. 增量解析：语法高亮和一致性检查增量执行
4. 内存优化：大文件分块管理
5. Web Worker：将计算密集任务移到Worker线程
【运行命令】npx vitest run extensions/dw-core/__tests__/LargeFileOptimization.test.ts</t>
        </is>
      </c>
      <c r="M57" s="7" t="inlineStr">
        <is>
          <t>大文件编辑优化实现完成</t>
        </is>
      </c>
      <c r="N57" s="7" t="inlineStr"/>
    </row>
    <row r="58" ht="200" customHeight="1">
      <c r="A58" s="2" t="inlineStr">
        <is>
          <t>V20-PER-003</t>
        </is>
      </c>
      <c r="B58" s="2" t="inlineStr">
        <is>
          <t>大文件编辑优化 - 验收</t>
        </is>
      </c>
      <c r="C58" s="12" t="inlineStr">
        <is>
          <t>Acceptance验收</t>
        </is>
      </c>
      <c r="D58" s="2" t="inlineStr">
        <is>
          <t>性能优化</t>
        </is>
      </c>
      <c r="E58" s="11" t="inlineStr">
        <is>
          <t>P2</t>
        </is>
      </c>
      <c r="F58" s="5" t="inlineStr">
        <is>
          <t>前端</t>
        </is>
      </c>
      <c r="G58" s="5" t="n">
        <v>1</v>
      </c>
      <c r="H58" s="5" t="inlineStr">
        <is>
          <t>2026-W49</t>
        </is>
      </c>
      <c r="I58" s="5" t="inlineStr">
        <is>
          <t>2026-W49</t>
        </is>
      </c>
      <c r="J58" s="2" t="inlineStr">
        <is>
          <t>V20-PER-002</t>
        </is>
      </c>
      <c r="K58" s="6" t="inlineStr">
        <is>
          <t>未开始</t>
        </is>
      </c>
      <c r="L58" s="2" t="inlineStr">
        <is>
          <t>【目标】大文件编辑优化验收
【验收检查项】
□ 10万字文件FPS≥30
□ 内存占用&lt;500MB
□ 编辑响应&lt;50ms
□ 语法高亮不卡顿
【运行命令】yarn watch &amp;&amp; yarn electron</t>
        </is>
      </c>
      <c r="M58" s="2" t="inlineStr">
        <is>
          <t>大文件编辑优化验收通过</t>
        </is>
      </c>
      <c r="N58" s="2" t="inlineStr"/>
    </row>
    <row r="59" ht="200" customHeight="1">
      <c r="A59" s="7" t="inlineStr">
        <is>
          <t>V20-PER-004</t>
        </is>
      </c>
      <c r="B59" s="7" t="inlineStr">
        <is>
          <t>AI响应缓存优化 - 测试</t>
        </is>
      </c>
      <c r="C59" s="4" t="inlineStr">
        <is>
          <t>Red测试</t>
        </is>
      </c>
      <c r="D59" s="7" t="inlineStr">
        <is>
          <t>性能优化</t>
        </is>
      </c>
      <c r="E59" s="11" t="inlineStr">
        <is>
          <t>P2</t>
        </is>
      </c>
      <c r="F59" s="9" t="inlineStr">
        <is>
          <t>AI工程师</t>
        </is>
      </c>
      <c r="G59" s="9" t="n">
        <v>1</v>
      </c>
      <c r="H59" s="9" t="inlineStr">
        <is>
          <t>2026-W49</t>
        </is>
      </c>
      <c r="I59" s="9" t="inlineStr">
        <is>
          <t>2026-W49</t>
        </is>
      </c>
      <c r="J59" s="7" t="inlineStr"/>
      <c r="K59" s="6" t="inlineStr">
        <is>
          <t>未开始</t>
        </is>
      </c>
      <c r="L59" s="7" t="inlineStr">
        <is>
          <t>【目标】编写AI响应缓存优化测试
【测试文件路径】ai-service/tests/services/test_ai_cache.py
【测试用例清单】
1. test_semantic_cache：语义缓存命中
2. test_cache_ttl：缓存过期
3. test_cache_invalidation：缓存失效
【运行命令】pytest ai-service/tests/services/test_ai_cache.py -v</t>
        </is>
      </c>
      <c r="M59" s="7" t="inlineStr">
        <is>
          <t>3个AI缓存测试用例通过</t>
        </is>
      </c>
      <c r="N59" s="7" t="inlineStr"/>
    </row>
    <row r="60" ht="200" customHeight="1">
      <c r="A60" s="2" t="inlineStr">
        <is>
          <t>V20-PER-005</t>
        </is>
      </c>
      <c r="B60" s="2" t="inlineStr">
        <is>
          <t>AI响应缓存优化 - 实现</t>
        </is>
      </c>
      <c r="C60" s="8" t="inlineStr">
        <is>
          <t>Green实现</t>
        </is>
      </c>
      <c r="D60" s="2" t="inlineStr">
        <is>
          <t>性能优化</t>
        </is>
      </c>
      <c r="E60" s="11" t="inlineStr">
        <is>
          <t>P2</t>
        </is>
      </c>
      <c r="F60" s="5" t="inlineStr">
        <is>
          <t>AI工程师</t>
        </is>
      </c>
      <c r="G60" s="5" t="n">
        <v>2</v>
      </c>
      <c r="H60" s="5" t="inlineStr">
        <is>
          <t>2026-W49</t>
        </is>
      </c>
      <c r="I60" s="5" t="inlineStr">
        <is>
          <t>2026-W49</t>
        </is>
      </c>
      <c r="J60" s="2" t="inlineStr">
        <is>
          <t>V20-PER-004</t>
        </is>
      </c>
      <c r="K60" s="6" t="inlineStr">
        <is>
          <t>未开始</t>
        </is>
      </c>
      <c r="L60" s="2" t="inlineStr">
        <is>
          <t>【目标】实现AI响应缓存优化
【源文件路径】ai-service/app/services/ai_cache.py
【实现步骤】
1. 语义缓存：相似Prompt（余弦相似度&gt;0.95）命中缓存
2. Redis缓存：TTL=1h，LRU淘汰
3. 本地内存缓存：热点数据缓存
4. 缓存预热：常用Prompt预生成
5. 缓存统计：命中率/节省Token数
【运行命令】pytest ai-service/tests/services/test_ai_cache.py -v</t>
        </is>
      </c>
      <c r="M60" s="2" t="inlineStr">
        <is>
          <t>AI响应缓存优化实现完成</t>
        </is>
      </c>
      <c r="N60" s="2" t="inlineStr"/>
    </row>
    <row r="61" ht="200" customHeight="1">
      <c r="A61" s="7" t="inlineStr">
        <is>
          <t>V20-PER-006</t>
        </is>
      </c>
      <c r="B61" s="7" t="inlineStr">
        <is>
          <t>AI响应缓存优化 - 验收</t>
        </is>
      </c>
      <c r="C61" s="12" t="inlineStr">
        <is>
          <t>Acceptance验收</t>
        </is>
      </c>
      <c r="D61" s="7" t="inlineStr">
        <is>
          <t>性能优化</t>
        </is>
      </c>
      <c r="E61" s="11" t="inlineStr">
        <is>
          <t>P2</t>
        </is>
      </c>
      <c r="F61" s="9" t="inlineStr">
        <is>
          <t>AI工程师</t>
        </is>
      </c>
      <c r="G61" s="9" t="n">
        <v>1</v>
      </c>
      <c r="H61" s="9" t="inlineStr">
        <is>
          <t>2026-W49</t>
        </is>
      </c>
      <c r="I61" s="9" t="inlineStr">
        <is>
          <t>2026-W49</t>
        </is>
      </c>
      <c r="J61" s="7" t="inlineStr">
        <is>
          <t>V20-PER-005</t>
        </is>
      </c>
      <c r="K61" s="6" t="inlineStr">
        <is>
          <t>未开始</t>
        </is>
      </c>
      <c r="L61" s="7" t="inlineStr">
        <is>
          <t>【目标】AI响应缓存优化验收
【验收检查项】
□ 语义缓存命中率≥30%
□ 缓存命中时响应&lt;100ms
□ 缓存失效正确
□ 节省Token≥20%
【运行命令】pytest ai-service/tests/services/test_ai_cache.py -v</t>
        </is>
      </c>
      <c r="M61" s="7" t="inlineStr">
        <is>
          <t>AI响应缓存优化验收通过</t>
        </is>
      </c>
      <c r="N61" s="7" t="inlineStr"/>
    </row>
    <row r="62" ht="200" customHeight="1">
      <c r="A62" s="2" t="inlineStr">
        <is>
          <t>V20-MOB-001</t>
        </is>
      </c>
      <c r="B62" s="2" t="inlineStr">
        <is>
          <t>响应式布局 - 测试</t>
        </is>
      </c>
      <c r="C62" s="4" t="inlineStr">
        <is>
          <t>Red测试</t>
        </is>
      </c>
      <c r="D62" s="2" t="inlineStr">
        <is>
          <t>移动端</t>
        </is>
      </c>
      <c r="E62" s="11" t="inlineStr">
        <is>
          <t>P2</t>
        </is>
      </c>
      <c r="F62" s="5" t="inlineStr">
        <is>
          <t>前端</t>
        </is>
      </c>
      <c r="G62" s="5" t="n">
        <v>1</v>
      </c>
      <c r="H62" s="5" t="inlineStr">
        <is>
          <t>2026-W50</t>
        </is>
      </c>
      <c r="I62" s="5" t="inlineStr">
        <is>
          <t>2026-W50</t>
        </is>
      </c>
      <c r="J62" s="2" t="inlineStr"/>
      <c r="K62" s="6" t="inlineStr">
        <is>
          <t>未开始</t>
        </is>
      </c>
      <c r="L62" s="2" t="inlineStr">
        <is>
          <t>【目标】编写响应式布局测试
【测试文件路径】extensions/dw-core/__tests__/ResponsiveLayout.test.ts
【测试用例清单】
1. test_desktop_layout：桌面布局（&gt;1200px）
2. test_tablet_layout：平板布局（768-1200px）
3. test_mobile_layout：手机布局（&lt;768px）
【运行命令】npx vitest run extensions/dw-core/__tests__/ResponsiveLayout.test.ts</t>
        </is>
      </c>
      <c r="M62" s="2" t="inlineStr">
        <is>
          <t>3个响应式布局测试用例通过</t>
        </is>
      </c>
      <c r="N62" s="2" t="inlineStr"/>
    </row>
    <row r="63" ht="200" customHeight="1">
      <c r="A63" s="7" t="inlineStr">
        <is>
          <t>V20-MOB-002</t>
        </is>
      </c>
      <c r="B63" s="7" t="inlineStr">
        <is>
          <t>响应式布局 - 实现</t>
        </is>
      </c>
      <c r="C63" s="8" t="inlineStr">
        <is>
          <t>Green实现</t>
        </is>
      </c>
      <c r="D63" s="7" t="inlineStr">
        <is>
          <t>移动端</t>
        </is>
      </c>
      <c r="E63" s="11" t="inlineStr">
        <is>
          <t>P2</t>
        </is>
      </c>
      <c r="F63" s="9" t="inlineStr">
        <is>
          <t>前端</t>
        </is>
      </c>
      <c r="G63" s="9" t="n">
        <v>3</v>
      </c>
      <c r="H63" s="9" t="inlineStr">
        <is>
          <t>2026-W50</t>
        </is>
      </c>
      <c r="I63" s="9" t="inlineStr">
        <is>
          <t>2026-W50</t>
        </is>
      </c>
      <c r="J63" s="7" t="inlineStr">
        <is>
          <t>V20-MOB-001</t>
        </is>
      </c>
      <c r="K63" s="6" t="inlineStr">
        <is>
          <t>未开始</t>
        </is>
      </c>
      <c r="L63" s="7" t="inlineStr">
        <is>
          <t>【目标】实现响应式布局
【源文件路径】extensions/dw-core/src/layout/
【实现步骤】
1. CSS媒体查询：
   - 桌面（&gt;1200px）：完整布局
   - 平板（768-1200px）：侧边栏可折叠
   - 手机（&lt;768px）：单栏布局
2. Activity Bar响应式：
   - 桌面：左侧图标栏
   - 平板：底部标签栏
   - 手机：汉堡菜单
3. 编辑器响应式：
   - 自适应宽度
   - 字体大小调整
4. Webview响应式：
   - AI面板自适应
   - 知识库面板自适应
【运行命令】npx vitest run extensions/dw-core/__tests__/ResponsiveLayout.test.ts</t>
        </is>
      </c>
      <c r="M63" s="7" t="inlineStr">
        <is>
          <t>响应式布局实现完成</t>
        </is>
      </c>
      <c r="N63" s="7" t="inlineStr"/>
    </row>
    <row r="64" ht="200" customHeight="1">
      <c r="A64" s="2" t="inlineStr">
        <is>
          <t>V20-MOB-003</t>
        </is>
      </c>
      <c r="B64" s="2" t="inlineStr">
        <is>
          <t>响应式布局 - 验收</t>
        </is>
      </c>
      <c r="C64" s="12" t="inlineStr">
        <is>
          <t>Acceptance验收</t>
        </is>
      </c>
      <c r="D64" s="2" t="inlineStr">
        <is>
          <t>移动端</t>
        </is>
      </c>
      <c r="E64" s="11" t="inlineStr">
        <is>
          <t>P2</t>
        </is>
      </c>
      <c r="F64" s="5" t="inlineStr">
        <is>
          <t>前端</t>
        </is>
      </c>
      <c r="G64" s="5" t="n">
        <v>1</v>
      </c>
      <c r="H64" s="5" t="inlineStr">
        <is>
          <t>2026-W50</t>
        </is>
      </c>
      <c r="I64" s="5" t="inlineStr">
        <is>
          <t>2026-W50</t>
        </is>
      </c>
      <c r="J64" s="2" t="inlineStr">
        <is>
          <t>V20-MOB-002</t>
        </is>
      </c>
      <c r="K64" s="6" t="inlineStr">
        <is>
          <t>未开始</t>
        </is>
      </c>
      <c r="L64" s="2" t="inlineStr">
        <is>
          <t>【目标】响应式布局验收
【测试场景】
1. 桌面浏览器 → 完整布局
2. 平板 → 侧边栏折叠
3. 手机 → 单栏布局
【验收检查项】
□ 三种布局正确切换
□ 功能在所有尺寸可用
□ 触摸操作友好
【运行命令】yarn watch &amp;&amp; yarn electron</t>
        </is>
      </c>
      <c r="M64" s="2" t="inlineStr">
        <is>
          <t>响应式布局验收通过</t>
        </is>
      </c>
      <c r="N64" s="2" t="inlineStr"/>
    </row>
    <row r="65" ht="200" customHeight="1">
      <c r="A65" s="7" t="inlineStr">
        <is>
          <t>V20-MOB-004</t>
        </is>
      </c>
      <c r="B65" s="7" t="inlineStr">
        <is>
          <t>手势交互 - 测试</t>
        </is>
      </c>
      <c r="C65" s="4" t="inlineStr">
        <is>
          <t>Red测试</t>
        </is>
      </c>
      <c r="D65" s="7" t="inlineStr">
        <is>
          <t>移动端</t>
        </is>
      </c>
      <c r="E65" s="11" t="inlineStr">
        <is>
          <t>P2</t>
        </is>
      </c>
      <c r="F65" s="9" t="inlineStr">
        <is>
          <t>前端</t>
        </is>
      </c>
      <c r="G65" s="9" t="n">
        <v>1</v>
      </c>
      <c r="H65" s="9" t="inlineStr">
        <is>
          <t>2026-W50</t>
        </is>
      </c>
      <c r="I65" s="9" t="inlineStr">
        <is>
          <t>2026-W50</t>
        </is>
      </c>
      <c r="J65" s="7" t="inlineStr">
        <is>
          <t>V20-MOB-002</t>
        </is>
      </c>
      <c r="K65" s="6" t="inlineStr">
        <is>
          <t>未开始</t>
        </is>
      </c>
      <c r="L65" s="7" t="inlineStr">
        <is>
          <t>【目标】编写手势交互测试
【测试文件路径】extensions/dw-core/__tests__/Gestures.test.ts
【测试用例清单】
1. test_swipe_navigation：滑动导航
2. test_pinch_zoom：捏合缩放
3. test_long_press：长按菜单
【运行命令】npx vitest run extensions/dw-core/__tests__/Gestures.test.ts</t>
        </is>
      </c>
      <c r="M65" s="7" t="inlineStr">
        <is>
          <t>3个手势交互测试用例通过</t>
        </is>
      </c>
      <c r="N65" s="7" t="inlineStr"/>
    </row>
    <row r="66" ht="200" customHeight="1">
      <c r="A66" s="2" t="inlineStr">
        <is>
          <t>V20-MOB-005</t>
        </is>
      </c>
      <c r="B66" s="2" t="inlineStr">
        <is>
          <t>手势交互 - 实现</t>
        </is>
      </c>
      <c r="C66" s="8" t="inlineStr">
        <is>
          <t>Green实现</t>
        </is>
      </c>
      <c r="D66" s="2" t="inlineStr">
        <is>
          <t>移动端</t>
        </is>
      </c>
      <c r="E66" s="11" t="inlineStr">
        <is>
          <t>P2</t>
        </is>
      </c>
      <c r="F66" s="5" t="inlineStr">
        <is>
          <t>前端</t>
        </is>
      </c>
      <c r="G66" s="5" t="n">
        <v>2</v>
      </c>
      <c r="H66" s="5" t="inlineStr">
        <is>
          <t>2026-W50</t>
        </is>
      </c>
      <c r="I66" s="5" t="inlineStr">
        <is>
          <t>2026-W50</t>
        </is>
      </c>
      <c r="J66" s="2" t="inlineStr">
        <is>
          <t>V20-MOB-004</t>
        </is>
      </c>
      <c r="K66" s="6" t="inlineStr">
        <is>
          <t>未开始</t>
        </is>
      </c>
      <c r="L66" s="2" t="inlineStr">
        <is>
          <t>【目标】实现手势交互
【源文件路径】extensions/dw-core/src/gestures/
【实现步骤】
1. 滑动导航：左右滑动切换章节/面板
2. 捏合缩放：编辑器字体缩放
3. 长按菜单：长按显示上下文菜单
4. 下拉刷新：刷新AI面板/知识库
5. 使用Hammer.js或自研手势库
【运行命令】npx vitest run extensions/dw-core/__tests__/Gestures.test.ts</t>
        </is>
      </c>
      <c r="M66" s="2" t="inlineStr">
        <is>
          <t>手势交互实现完成</t>
        </is>
      </c>
      <c r="N66" s="2" t="inlineStr"/>
    </row>
    <row r="67" ht="200" customHeight="1">
      <c r="A67" s="7" t="inlineStr">
        <is>
          <t>V20-MOB-006</t>
        </is>
      </c>
      <c r="B67" s="7" t="inlineStr">
        <is>
          <t>手势交互 - 验收</t>
        </is>
      </c>
      <c r="C67" s="12" t="inlineStr">
        <is>
          <t>Acceptance验收</t>
        </is>
      </c>
      <c r="D67" s="7" t="inlineStr">
        <is>
          <t>移动端</t>
        </is>
      </c>
      <c r="E67" s="11" t="inlineStr">
        <is>
          <t>P2</t>
        </is>
      </c>
      <c r="F67" s="9" t="inlineStr">
        <is>
          <t>前端</t>
        </is>
      </c>
      <c r="G67" s="9" t="n">
        <v>1</v>
      </c>
      <c r="H67" s="9" t="inlineStr">
        <is>
          <t>2026-W50</t>
        </is>
      </c>
      <c r="I67" s="9" t="inlineStr">
        <is>
          <t>2026-W50</t>
        </is>
      </c>
      <c r="J67" s="7" t="inlineStr">
        <is>
          <t>V20-MOB-005</t>
        </is>
      </c>
      <c r="K67" s="6" t="inlineStr">
        <is>
          <t>未开始</t>
        </is>
      </c>
      <c r="L67" s="7" t="inlineStr">
        <is>
          <t>【目标】手势交互验收
【测试场景】
1. 左右滑动 → 切换章节
2. 捏合 → 字体缩放
3. 长按 → 上下文菜单
【验收检查项】
□ 滑动导航流畅
□ 缩放正确
□ 长按菜单正确
□ 手势不冲突
【运行命令】yarn watch &amp;&amp; yarn electron</t>
        </is>
      </c>
      <c r="M67" s="7" t="inlineStr">
        <is>
          <t>手势交互验收通过</t>
        </is>
      </c>
      <c r="N67" s="7" t="inlineStr"/>
    </row>
  </sheetData>
  <autoFilter ref="A1:N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40" customWidth="1" min="5" max="5"/>
    <col width="5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版本</t>
        </is>
      </c>
      <c r="D1" s="1" t="inlineStr">
        <is>
          <t>时间</t>
        </is>
      </c>
      <c r="E1" s="1" t="inlineStr">
        <is>
          <t>交付物</t>
        </is>
      </c>
      <c r="F1" s="1" t="inlineStr">
        <is>
          <t>验收标准</t>
        </is>
      </c>
      <c r="G1" s="1" t="inlineStr">
        <is>
          <t>状态</t>
        </is>
      </c>
    </row>
    <row r="2">
      <c r="A2" s="5" t="inlineStr">
        <is>
          <t>M1</t>
        </is>
      </c>
      <c r="B2" s="2" t="inlineStr">
        <is>
          <t>技术验证</t>
        </is>
      </c>
      <c r="C2" s="5" t="inlineStr">
        <is>
          <t>v1.0</t>
        </is>
      </c>
      <c r="D2" s="5" t="inlineStr">
        <is>
          <t>W14</t>
        </is>
      </c>
      <c r="E2" s="2" t="inlineStr">
        <is>
          <t>编辑器Demo+AI基础集成</t>
        </is>
      </c>
      <c r="F2" s="2" t="inlineStr">
        <is>
          <t>能在编辑器中调用AI生成文本</t>
        </is>
      </c>
      <c r="G2" s="6" t="inlineStr">
        <is>
          <t>未开始</t>
        </is>
      </c>
    </row>
    <row r="3">
      <c r="A3" s="9" t="inlineStr">
        <is>
          <t>M2</t>
        </is>
      </c>
      <c r="B3" s="7" t="inlineStr">
        <is>
          <t>Alpha内测</t>
        </is>
      </c>
      <c r="C3" s="9" t="inlineStr">
        <is>
          <t>v1.0</t>
        </is>
      </c>
      <c r="D3" s="9" t="inlineStr">
        <is>
          <t>W18</t>
        </is>
      </c>
      <c r="E3" s="7" t="inlineStr">
        <is>
          <t>完整MVP功能</t>
        </is>
      </c>
      <c r="F3" s="7" t="inlineStr">
        <is>
          <t>内部团队可完成一部短篇小说创作</t>
        </is>
      </c>
      <c r="G3" s="6" t="inlineStr">
        <is>
          <t>未开始</t>
        </is>
      </c>
    </row>
    <row r="4">
      <c r="A4" s="5" t="inlineStr">
        <is>
          <t>M3</t>
        </is>
      </c>
      <c r="B4" s="2" t="inlineStr">
        <is>
          <t>Beta公测</t>
        </is>
      </c>
      <c r="C4" s="5" t="inlineStr">
        <is>
          <t>v1.0</t>
        </is>
      </c>
      <c r="D4" s="5" t="inlineStr">
        <is>
          <t>W21</t>
        </is>
      </c>
      <c r="E4" s="2" t="inlineStr">
        <is>
          <t>公测版本+基础运营</t>
        </is>
      </c>
      <c r="F4" s="2" t="inlineStr">
        <is>
          <t>500名种子用户，7日留存&gt;=30%</t>
        </is>
      </c>
      <c r="G4" s="6" t="inlineStr">
        <is>
          <t>未开始</t>
        </is>
      </c>
    </row>
    <row r="5">
      <c r="A5" s="9" t="inlineStr">
        <is>
          <t>M4</t>
        </is>
      </c>
      <c r="B5" s="7" t="inlineStr">
        <is>
          <t>正式上线</t>
        </is>
      </c>
      <c r="C5" s="9" t="inlineStr">
        <is>
          <t>v1.0</t>
        </is>
      </c>
      <c r="D5" s="9" t="inlineStr">
        <is>
          <t>W22</t>
        </is>
      </c>
      <c r="E5" s="7" t="inlineStr">
        <is>
          <t>v1.0正式版</t>
        </is>
      </c>
      <c r="F5" s="7" t="inlineStr">
        <is>
          <t>注册用户&gt;=5000，付费转化&gt;=5%</t>
        </is>
      </c>
      <c r="G5" s="6" t="inlineStr">
        <is>
          <t>未开始</t>
        </is>
      </c>
    </row>
    <row r="6">
      <c r="A6" s="5" t="inlineStr">
        <is>
          <t>M5</t>
        </is>
      </c>
      <c r="B6" s="2" t="inlineStr">
        <is>
          <t>协作模式完成</t>
        </is>
      </c>
      <c r="C6" s="5" t="inlineStr">
        <is>
          <t>v1.5</t>
        </is>
      </c>
      <c r="D6" s="5" t="inlineStr">
        <is>
          <t>W26</t>
        </is>
      </c>
      <c r="E6" s="2" t="inlineStr">
        <is>
          <t>5种协作模式</t>
        </is>
      </c>
      <c r="F6" s="2" t="inlineStr">
        <is>
          <t>多模型协作流水线可用</t>
        </is>
      </c>
      <c r="G6" s="6" t="inlineStr">
        <is>
          <t>未开始</t>
        </is>
      </c>
    </row>
    <row r="7">
      <c r="A7" s="9" t="inlineStr">
        <is>
          <t>M6</t>
        </is>
      </c>
      <c r="B7" s="7" t="inlineStr">
        <is>
          <t>分支合并完成</t>
        </is>
      </c>
      <c r="C7" s="9" t="inlineStr">
        <is>
          <t>v1.5</t>
        </is>
      </c>
      <c r="D7" s="9" t="inlineStr">
        <is>
          <t>W28</t>
        </is>
      </c>
      <c r="E7" s="7" t="inlineStr">
        <is>
          <t>分支合并功能</t>
        </is>
      </c>
      <c r="F7" s="7" t="inlineStr">
        <is>
          <t>段落级+AI辅助合并可用</t>
        </is>
      </c>
      <c r="G7" s="6" t="inlineStr">
        <is>
          <t>未开始</t>
        </is>
      </c>
    </row>
    <row r="8">
      <c r="A8" s="5" t="inlineStr">
        <is>
          <t>M7</t>
        </is>
      </c>
      <c r="B8" s="2" t="inlineStr">
        <is>
          <t>去AI味上线</t>
        </is>
      </c>
      <c r="C8" s="5" t="inlineStr">
        <is>
          <t>v1.5</t>
        </is>
      </c>
      <c r="D8" s="5" t="inlineStr">
        <is>
          <t>W30</t>
        </is>
      </c>
      <c r="E8" s="2" t="inlineStr">
        <is>
          <t>去AI味引擎</t>
        </is>
      </c>
      <c r="F8" s="2" t="inlineStr">
        <is>
          <t>AI检测+去AI味可用</t>
        </is>
      </c>
      <c r="G8" s="6" t="inlineStr">
        <is>
          <t>未开始</t>
        </is>
      </c>
    </row>
    <row r="9">
      <c r="A9" s="9" t="inlineStr">
        <is>
          <t>M8</t>
        </is>
      </c>
      <c r="B9" s="7" t="inlineStr">
        <is>
          <t>v1.5发布</t>
        </is>
      </c>
      <c r="C9" s="9" t="inlineStr">
        <is>
          <t>v1.5</t>
        </is>
      </c>
      <c r="D9" s="9" t="inlineStr">
        <is>
          <t>W32</t>
        </is>
      </c>
      <c r="E9" s="7" t="inlineStr">
        <is>
          <t>v1.5增强版</t>
        </is>
      </c>
      <c r="F9" s="7" t="inlineStr">
        <is>
          <t>8-10个模型+高级RAG+去AI味</t>
        </is>
      </c>
      <c r="G9" s="6" t="inlineStr">
        <is>
          <t>未开始</t>
        </is>
      </c>
    </row>
    <row r="10">
      <c r="A10" s="5" t="inlineStr">
        <is>
          <t>M9</t>
        </is>
      </c>
      <c r="B10" s="2" t="inlineStr">
        <is>
          <t>模板市场上线</t>
        </is>
      </c>
      <c r="C10" s="5" t="inlineStr">
        <is>
          <t>v2.0</t>
        </is>
      </c>
      <c r="D10" s="5" t="inlineStr">
        <is>
          <t>W36</t>
        </is>
      </c>
      <c r="E10" s="2" t="inlineStr">
        <is>
          <t>模板市场</t>
        </is>
      </c>
      <c r="F10" s="2" t="inlineStr">
        <is>
          <t>预设+社区模板可用</t>
        </is>
      </c>
      <c r="G10" s="6" t="inlineStr">
        <is>
          <t>未开始</t>
        </is>
      </c>
    </row>
    <row r="11">
      <c r="A11" s="9" t="inlineStr">
        <is>
          <t>M10</t>
        </is>
      </c>
      <c r="B11" s="7" t="inlineStr">
        <is>
          <t>社区+协作</t>
        </is>
      </c>
      <c r="C11" s="9" t="inlineStr">
        <is>
          <t>v2.0</t>
        </is>
      </c>
      <c r="D11" s="9" t="inlineStr">
        <is>
          <t>W38</t>
        </is>
      </c>
      <c r="E11" s="7" t="inlineStr">
        <is>
          <t>社区分享+协作写作</t>
        </is>
      </c>
      <c r="F11" s="7" t="inlineStr">
        <is>
          <t>作品发布+评论+实时协作</t>
        </is>
      </c>
      <c r="G11" s="6" t="inlineStr">
        <is>
          <t>未开始</t>
        </is>
      </c>
    </row>
    <row r="12">
      <c r="A12" s="5" t="inlineStr">
        <is>
          <t>M11</t>
        </is>
      </c>
      <c r="B12" s="2" t="inlineStr">
        <is>
          <t>深度Fork完成</t>
        </is>
      </c>
      <c r="C12" s="5" t="inlineStr">
        <is>
          <t>v2.0</t>
        </is>
      </c>
      <c r="D12" s="5" t="inlineStr">
        <is>
          <t>W40</t>
        </is>
      </c>
      <c r="E12" s="2" t="inlineStr">
        <is>
          <t>深度定制编辑器</t>
        </is>
      </c>
      <c r="F12" s="2" t="inlineStr">
        <is>
          <t>自定义TextModel+Diff+装饰器</t>
        </is>
      </c>
      <c r="G12" s="6" t="inlineStr">
        <is>
          <t>未开始</t>
        </is>
      </c>
    </row>
    <row r="13">
      <c r="A13" s="9" t="inlineStr">
        <is>
          <t>M12</t>
        </is>
      </c>
      <c r="B13" s="7" t="inlineStr">
        <is>
          <t>v2.0发布</t>
        </is>
      </c>
      <c r="C13" s="9" t="inlineStr">
        <is>
          <t>v2.0</t>
        </is>
      </c>
      <c r="D13" s="9" t="inlineStr">
        <is>
          <t>W40</t>
        </is>
      </c>
      <c r="E13" s="7" t="inlineStr">
        <is>
          <t>v2.0生态版</t>
        </is>
      </c>
      <c r="F13" s="7" t="inlineStr">
        <is>
          <t>全部P2功能+性能优化+移动端</t>
        </is>
      </c>
      <c r="G13" s="6" t="inlineStr">
        <is>
          <t>未开始</t>
        </is>
      </c>
    </row>
    <row r="14">
      <c r="A14" s="20" t="inlineStr">
        <is>
          <t>M13</t>
        </is>
      </c>
      <c r="B14" s="20" t="inlineStr">
        <is>
          <t>Prompt Cache Harness完成</t>
        </is>
      </c>
      <c r="C14" s="20" t="inlineStr">
        <is>
          <t>v2.5</t>
        </is>
      </c>
      <c r="D14" s="20" t="inlineStr">
        <is>
          <t>W30</t>
        </is>
      </c>
      <c r="E14" s="20" t="inlineStr">
        <is>
          <t>缓存分割+Schema缓存+Sticky Latch+监控</t>
        </is>
      </c>
      <c r="F14" s="20" t="inlineStr">
        <is>
          <t>Cache命中率&gt;70%，单次bust&lt;20K tokens</t>
        </is>
      </c>
      <c r="G14" s="20" t="inlineStr">
        <is>
          <t>未开始</t>
        </is>
      </c>
    </row>
    <row r="15">
      <c r="A15" s="20" t="inlineStr">
        <is>
          <t>M14</t>
        </is>
      </c>
      <c r="B15" s="20" t="inlineStr">
        <is>
          <t>Permission Harness完成</t>
        </is>
      </c>
      <c r="C15" s="20" t="inlineStr">
        <is>
          <t>v2.5</t>
        </is>
      </c>
      <c r="D15" s="20" t="inlineStr">
        <is>
          <t>W32</t>
        </is>
      </c>
      <c r="E15" s="20" t="inlineStr">
        <is>
          <t>Fail-closed+两阶段分类器+拒绝反馈+多竞态者</t>
        </is>
      </c>
      <c r="F15" s="20" t="inlineStr">
        <is>
          <t>分类器P99&lt;500ms，误报率&lt;5%</t>
        </is>
      </c>
      <c r="G15" s="20" t="inlineStr">
        <is>
          <t>未开始</t>
        </is>
      </c>
    </row>
    <row r="16">
      <c r="A16" s="20" t="inlineStr">
        <is>
          <t>M15</t>
        </is>
      </c>
      <c r="B16" s="20" t="inlineStr">
        <is>
          <t>Compaction+Memory Harness完成</t>
        </is>
      </c>
      <c r="C16" s="20" t="inlineStr">
        <is>
          <t>v2.5</t>
        </is>
      </c>
      <c r="D16" s="20" t="inlineStr">
        <is>
          <t>W36</t>
        </is>
      </c>
      <c r="E16" s="20" t="inlineStr">
        <is>
          <t>四级压缩+熔断器+记忆提取+老化警告</t>
        </is>
      </c>
      <c r="F16" s="20" t="inlineStr">
        <is>
          <t>压缩成功率&gt;95%，API成本降低&gt;40%</t>
        </is>
      </c>
      <c r="G16" s="20" t="inlineStr">
        <is>
          <t>未开始</t>
        </is>
      </c>
    </row>
    <row r="17">
      <c r="A17" s="20" t="inlineStr">
        <is>
          <t>M16</t>
        </is>
      </c>
      <c r="B17" s="20" t="inlineStr">
        <is>
          <t>Build+Collaboration Harness完成</t>
        </is>
      </c>
      <c r="C17" s="20" t="inlineStr">
        <is>
          <t>v2.5</t>
        </is>
      </c>
      <c r="D17" s="20" t="inlineStr">
        <is>
          <t>W39</t>
        </is>
      </c>
      <c r="E17" s="20" t="inlineStr">
        <is>
          <t>Feature Gate+DCE+协调器+FlushGate+QueryGuard</t>
        </is>
      </c>
      <c r="F17" s="20" t="inlineStr">
        <is>
          <t>系统可用性&gt;99.95%</t>
        </is>
      </c>
      <c r="G17" s="20" t="inlineStr">
        <is>
          <t>未开始</t>
        </is>
      </c>
    </row>
    <row r="18">
      <c r="A18" s="20" t="inlineStr">
        <is>
          <t>M17</t>
        </is>
      </c>
      <c r="B18" s="20" t="inlineStr">
        <is>
          <t>v2.5 Harness全面验收</t>
        </is>
      </c>
      <c r="C18" s="20" t="inlineStr">
        <is>
          <t>v2.5</t>
        </is>
      </c>
      <c r="D18" s="20" t="inlineStr">
        <is>
          <t>W40</t>
        </is>
      </c>
      <c r="E18" s="20" t="inlineStr">
        <is>
          <t>全Harness端到端测试报告</t>
        </is>
      </c>
      <c r="F18" s="20" t="inlineStr">
        <is>
          <t>所有成功指标达标</t>
        </is>
      </c>
      <c r="G18" s="20" t="inlineStr">
        <is>
          <t>未开始</t>
        </is>
      </c>
    </row>
    <row r="19">
      <c r="A19" s="29" t="inlineStr">
        <is>
          <t>M18</t>
        </is>
      </c>
      <c r="B19" s="29" t="inlineStr">
        <is>
          <t>全球版MVP完成</t>
        </is>
      </c>
      <c r="C19" s="29" t="inlineStr">
        <is>
          <t>v2.3</t>
        </is>
      </c>
      <c r="D19" s="29" t="inlineStr">
        <is>
          <t>W28</t>
        </is>
      </c>
      <c r="E19" s="29" t="inlineStr">
        <is>
          <t>i18n+Stripe+GDPR+CDN</t>
        </is>
      </c>
      <c r="F19" s="29" t="inlineStr">
        <is>
          <t>全球三区域部署可用</t>
        </is>
      </c>
      <c r="G19" s="29" t="inlineStr">
        <is>
          <t>未开始</t>
        </is>
      </c>
    </row>
    <row r="20">
      <c r="A20" s="30" t="inlineStr">
        <is>
          <t>M19</t>
        </is>
      </c>
      <c r="B20" s="30" t="inlineStr">
        <is>
          <t>全球版验收</t>
        </is>
      </c>
      <c r="C20" s="30" t="inlineStr">
        <is>
          <t>v2.3</t>
        </is>
      </c>
      <c r="D20" s="30" t="inlineStr">
        <is>
          <t>W30</t>
        </is>
      </c>
      <c r="E20" s="30" t="inlineStr">
        <is>
          <t>全球版E2E测试报告</t>
        </is>
      </c>
      <c r="F20" s="30" t="inlineStr">
        <is>
          <t>GDPR合规审计通过</t>
        </is>
      </c>
      <c r="G20" s="30" t="inlineStr">
        <is>
          <t>未开始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3" t="inlineStr">
        <is>
          <t>织梦笔项目任务总览</t>
        </is>
      </c>
    </row>
    <row r="3">
      <c r="A3" s="1" t="inlineStr">
        <is>
          <t>版本</t>
        </is>
      </c>
      <c r="B3" s="1" t="inlineStr">
        <is>
          <t>总任务数</t>
        </is>
      </c>
      <c r="C3" s="1" t="inlineStr">
        <is>
          <t>未开始</t>
        </is>
      </c>
      <c r="D3" s="1" t="inlineStr">
        <is>
          <t>进行中</t>
        </is>
      </c>
      <c r="E3" s="1" t="inlineStr">
        <is>
          <t>测试中</t>
        </is>
      </c>
      <c r="F3" s="1" t="inlineStr">
        <is>
          <t>已完成</t>
        </is>
      </c>
      <c r="G3" s="1" t="inlineStr">
        <is>
          <t>阻塞</t>
        </is>
      </c>
      <c r="H3" s="1" t="inlineStr">
        <is>
          <t>完成率</t>
        </is>
      </c>
    </row>
    <row r="4">
      <c r="A4" s="5" t="inlineStr">
        <is>
          <t>v1.0-MVP</t>
        </is>
      </c>
      <c r="B4" s="5">
        <f>COUNTA('v1.0-MVP'!A2:A1000)</f>
        <v/>
      </c>
      <c r="C4" s="5">
        <f>COUNTIF('v1.0-MVP'!K2:K1000,"未开始")</f>
        <v/>
      </c>
      <c r="D4" s="5">
        <f>COUNTIF('v1.0-MVP'!K2:K1000,"进行中")</f>
        <v/>
      </c>
      <c r="E4" s="5">
        <f>COUNTIF('v1.0-MVP'!K2:K1000,"测试中")</f>
        <v/>
      </c>
      <c r="F4" s="5">
        <f>COUNTIF('v1.0-MVP'!K2:K1000,"已完成")</f>
        <v/>
      </c>
      <c r="G4" s="5">
        <f>COUNTIF('v1.0-MVP'!K2:K1000,"阻塞")</f>
        <v/>
      </c>
      <c r="H4" s="14">
        <f>IF(B4=0,"N/A",G4/B4)</f>
        <v/>
      </c>
    </row>
    <row r="5">
      <c r="A5" s="9" t="inlineStr">
        <is>
          <t>v1.5-增强</t>
        </is>
      </c>
      <c r="B5" s="9">
        <f>COUNTA('v1.5-增强'!A2:A1000)</f>
        <v/>
      </c>
      <c r="C5" s="9">
        <f>COUNTIF('v1.5-增强'!K2:K1000,"未开始")</f>
        <v/>
      </c>
      <c r="D5" s="9">
        <f>COUNTIF('v1.5-增强'!K2:K1000,"进行中")</f>
        <v/>
      </c>
      <c r="E5" s="9">
        <f>COUNTIF('v1.5-增强'!K2:K1000,"测试中")</f>
        <v/>
      </c>
      <c r="F5" s="9">
        <f>COUNTIF('v1.5-增强'!K2:K1000,"已完成")</f>
        <v/>
      </c>
      <c r="G5" s="9">
        <f>COUNTIF('v1.5-增强'!K2:K1000,"阻塞")</f>
        <v/>
      </c>
      <c r="H5" s="15">
        <f>IF(B5=0,"N/A",G5/B5)</f>
        <v/>
      </c>
    </row>
    <row r="6">
      <c r="A6" s="5" t="inlineStr">
        <is>
          <t>v2.0-生态</t>
        </is>
      </c>
      <c r="B6" s="5">
        <f>COUNTA('v2.0-生态'!A2:A1000)</f>
        <v/>
      </c>
      <c r="C6" s="5">
        <f>COUNTIF('v2.0-生态'!K2:K1000,"未开始")</f>
        <v/>
      </c>
      <c r="D6" s="5">
        <f>COUNTIF('v2.0-生态'!K2:K1000,"进行中")</f>
        <v/>
      </c>
      <c r="E6" s="5">
        <f>COUNTIF('v2.0-生态'!K2:K1000,"测试中")</f>
        <v/>
      </c>
      <c r="F6" s="5">
        <f>COUNTIF('v2.0-生态'!K2:K1000,"已完成")</f>
        <v/>
      </c>
      <c r="G6" s="5">
        <f>COUNTIF('v2.0-生态'!K2:K1000,"阻塞")</f>
        <v/>
      </c>
      <c r="H6" s="14">
        <f>IF(B6=0,"N/A",G6/B6)</f>
        <v/>
      </c>
    </row>
    <row r="7">
      <c r="A7" s="16" t="inlineStr">
        <is>
          <t>合计</t>
        </is>
      </c>
      <c r="B7" s="17">
        <f>SUM(B4:B6)</f>
        <v/>
      </c>
      <c r="C7" s="17">
        <f>SUM(C4:C6)</f>
        <v/>
      </c>
      <c r="D7" s="17">
        <f>SUM(D4:D6)</f>
        <v/>
      </c>
      <c r="E7" s="17">
        <f>SUM(E4:E6)</f>
        <v/>
      </c>
      <c r="F7" s="17">
        <f>SUM(F4:F6)</f>
        <v/>
      </c>
      <c r="G7" s="17">
        <f>SUM(G4:G6)</f>
        <v/>
      </c>
      <c r="H7" s="18">
        <f>IF(B7=0,"N/A",G7/B7)</f>
        <v/>
      </c>
    </row>
    <row r="9">
      <c r="A9" s="19" t="inlineStr">
        <is>
          <t>优先级分布</t>
        </is>
      </c>
    </row>
    <row r="10">
      <c r="A10" s="1" t="inlineStr">
        <is>
          <t>版本</t>
        </is>
      </c>
      <c r="B10" s="1" t="inlineStr">
        <is>
          <t>P0</t>
        </is>
      </c>
      <c r="C10" s="1" t="inlineStr">
        <is>
          <t>P1</t>
        </is>
      </c>
      <c r="D10" s="1" t="inlineStr">
        <is>
          <t>P2</t>
        </is>
      </c>
    </row>
    <row r="11">
      <c r="A11" s="9" t="inlineStr">
        <is>
          <t>v1.0-MVP</t>
        </is>
      </c>
      <c r="B11" s="9">
        <f>COUNTIF('v1.0-MVP'!E2:E1000,"P0")</f>
        <v/>
      </c>
      <c r="C11" s="9">
        <f>COUNTIF('v1.0-MVP'!E2:E1000,"P1")</f>
        <v/>
      </c>
      <c r="D11" s="9">
        <f>COUNTIF('v1.0-MVP'!E2:E1000,"P2")</f>
        <v/>
      </c>
    </row>
    <row r="12">
      <c r="A12" s="5" t="inlineStr">
        <is>
          <t>v1.5-增强</t>
        </is>
      </c>
      <c r="B12" s="5">
        <f>COUNTIF('v1.5-增强'!E2:E1000,"P0")</f>
        <v/>
      </c>
      <c r="C12" s="5">
        <f>COUNTIF('v1.5-增强'!E2:E1000,"P1")</f>
        <v/>
      </c>
      <c r="D12" s="5">
        <f>COUNTIF('v1.5-增强'!E2:E1000,"P2")</f>
        <v/>
      </c>
    </row>
    <row r="13">
      <c r="A13" s="9" t="inlineStr">
        <is>
          <t>v2.0-生态</t>
        </is>
      </c>
      <c r="B13" s="9">
        <f>COUNTIF('v2.0-生态'!E2:E1000,"P0")</f>
        <v/>
      </c>
      <c r="C13" s="9">
        <f>COUNTIF('v2.0-生态'!E2:E1000,"P1")</f>
        <v/>
      </c>
      <c r="D13" s="9">
        <f>COUNTIF('v2.0-生态'!E2:E1000,"P2")</f>
        <v/>
      </c>
    </row>
    <row r="15">
      <c r="A15" s="19" t="inlineStr">
        <is>
          <t>角色分布</t>
        </is>
      </c>
    </row>
    <row r="16">
      <c r="A16" s="1" t="inlineStr">
        <is>
          <t>版本</t>
        </is>
      </c>
      <c r="B16" s="1" t="inlineStr">
        <is>
          <t>前端</t>
        </is>
      </c>
      <c r="C16" s="1" t="inlineStr">
        <is>
          <t>后端</t>
        </is>
      </c>
      <c r="D16" s="1" t="inlineStr">
        <is>
          <t>AI工程师</t>
        </is>
      </c>
      <c r="E16" s="1" t="inlineStr">
        <is>
          <t>设计师</t>
        </is>
      </c>
      <c r="F16" s="1" t="inlineStr">
        <is>
          <t>测试</t>
        </is>
      </c>
      <c r="G16" s="1" t="inlineStr">
        <is>
          <t>全栈</t>
        </is>
      </c>
    </row>
    <row r="17">
      <c r="A17" s="9" t="inlineStr">
        <is>
          <t>v1.0-MVP</t>
        </is>
      </c>
      <c r="B17" s="9">
        <f>COUNTIF('v1.0-MVP'!F2:F1000,"前端")</f>
        <v/>
      </c>
      <c r="C17" s="9">
        <f>COUNTIF('v1.0-MVP'!F2:F1000,"后端")</f>
        <v/>
      </c>
      <c r="D17" s="9">
        <f>COUNTIF('v1.0-MVP'!F2:F1000,"AI工程师")</f>
        <v/>
      </c>
      <c r="E17" s="9">
        <f>COUNTIF('v1.0-MVP'!F2:F1000,"设计师")</f>
        <v/>
      </c>
      <c r="F17" s="9">
        <f>COUNTIF('v1.0-MVP'!F2:F1000,"测试")</f>
        <v/>
      </c>
      <c r="G17" s="9">
        <f>COUNTIF('v1.0-MVP'!F2:F1000,"全栈")</f>
        <v/>
      </c>
    </row>
    <row r="18">
      <c r="A18" s="5" t="inlineStr">
        <is>
          <t>v1.5-增强</t>
        </is>
      </c>
      <c r="B18" s="5">
        <f>COUNTIF('v1.5-增强'!F2:F1000,"前端")</f>
        <v/>
      </c>
      <c r="C18" s="5">
        <f>COUNTIF('v1.5-增强'!F2:F1000,"后端")</f>
        <v/>
      </c>
      <c r="D18" s="5">
        <f>COUNTIF('v1.5-增强'!F2:F1000,"AI工程师")</f>
        <v/>
      </c>
      <c r="E18" s="5">
        <f>COUNTIF('v1.5-增强'!F2:F1000,"设计师")</f>
        <v/>
      </c>
      <c r="F18" s="5">
        <f>COUNTIF('v1.5-增强'!F2:F1000,"测试")</f>
        <v/>
      </c>
      <c r="G18" s="5">
        <f>COUNTIF('v1.5-增强'!F2:F1000,"全栈")</f>
        <v/>
      </c>
    </row>
    <row r="19">
      <c r="A19" s="9" t="inlineStr">
        <is>
          <t>v2.0-生态</t>
        </is>
      </c>
      <c r="B19" s="9">
        <f>COUNTIF('v2.0-生态'!F2:F1000,"前端")</f>
        <v/>
      </c>
      <c r="C19" s="9">
        <f>COUNTIF('v2.0-生态'!F2:F1000,"后端")</f>
        <v/>
      </c>
      <c r="D19" s="9">
        <f>COUNTIF('v2.0-生态'!F2:F1000,"AI工程师")</f>
        <v/>
      </c>
      <c r="E19" s="9">
        <f>COUNTIF('v2.0-生态'!F2:F1000,"设计师")</f>
        <v/>
      </c>
      <c r="F19" s="9">
        <f>COUNTIF('v2.0-生态'!F2:F1000,"测试")</f>
        <v/>
      </c>
      <c r="G19" s="9">
        <f>COUNTIF('v2.0-生态'!F2:F1000,"全栈")</f>
        <v/>
      </c>
    </row>
    <row r="21">
      <c r="A21" s="19" t="inlineStr">
        <is>
          <t>TDD阶段分布</t>
        </is>
      </c>
    </row>
    <row r="22">
      <c r="A22" s="1" t="inlineStr">
        <is>
          <t>版本</t>
        </is>
      </c>
      <c r="B22" s="1" t="inlineStr">
        <is>
          <t>Red测试</t>
        </is>
      </c>
      <c r="C22" s="1" t="inlineStr">
        <is>
          <t>Green实现</t>
        </is>
      </c>
      <c r="D22" s="1" t="inlineStr">
        <is>
          <t>Refactor重构</t>
        </is>
      </c>
      <c r="E22" s="1" t="inlineStr">
        <is>
          <t>Acceptance验收</t>
        </is>
      </c>
      <c r="F22" s="1" t="inlineStr">
        <is>
          <t>基础设施</t>
        </is>
      </c>
    </row>
    <row r="23">
      <c r="A23" s="9" t="inlineStr">
        <is>
          <t>v1.0-MVP</t>
        </is>
      </c>
      <c r="B23" s="9">
        <f>COUNTIF('v1.0-MVP'!C2:C1000,"Red测试")</f>
        <v/>
      </c>
      <c r="C23" s="9">
        <f>COUNTIF('v1.0-MVP'!C2:C1000,"Green实现")</f>
        <v/>
      </c>
      <c r="D23" s="9">
        <f>COUNTIF('v1.0-MVP'!C2:C1000,"Refactor重构")</f>
        <v/>
      </c>
      <c r="E23" s="9">
        <f>COUNTIF('v1.0-MVP'!C2:C1000,"Acceptance验收")</f>
        <v/>
      </c>
      <c r="F23" s="9">
        <f>COUNTIF('v1.0-MVP'!C2:C1000,"基础设施")</f>
        <v/>
      </c>
    </row>
    <row r="24">
      <c r="A24" s="5" t="inlineStr">
        <is>
          <t>v1.5-增强</t>
        </is>
      </c>
      <c r="B24" s="5">
        <f>COUNTIF('v1.5-增强'!C2:C1000,"Red测试")</f>
        <v/>
      </c>
      <c r="C24" s="5">
        <f>COUNTIF('v1.5-增强'!C2:C1000,"Green实现")</f>
        <v/>
      </c>
      <c r="D24" s="5">
        <f>COUNTIF('v1.5-增强'!C2:C1000,"Refactor重构")</f>
        <v/>
      </c>
      <c r="E24" s="5">
        <f>COUNTIF('v1.5-增强'!C2:C1000,"Acceptance验收")</f>
        <v/>
      </c>
      <c r="F24" s="5">
        <f>COUNTIF('v1.5-增强'!C2:C1000,"基础设施")</f>
        <v/>
      </c>
    </row>
    <row r="25">
      <c r="A25" s="9" t="inlineStr">
        <is>
          <t>v2.0-生态</t>
        </is>
      </c>
      <c r="B25" s="9">
        <f>COUNTIF('v2.0-生态'!C2:C1000,"Red测试")</f>
        <v/>
      </c>
      <c r="C25" s="9">
        <f>COUNTIF('v2.0-生态'!C2:C1000,"Green实现")</f>
        <v/>
      </c>
      <c r="D25" s="9">
        <f>COUNTIF('v2.0-生态'!C2:C1000,"Refactor重构")</f>
        <v/>
      </c>
      <c r="E25" s="9">
        <f>COUNTIF('v2.0-生态'!C2:C1000,"Acceptance验收")</f>
        <v/>
      </c>
      <c r="F25" s="9">
        <f>COUNTIF('v2.0-生态'!C2:C1000,"基础设施")</f>
        <v/>
      </c>
    </row>
    <row r="27">
      <c r="A27" s="20" t="inlineStr">
        <is>
          <t>v2.5-Harness</t>
        </is>
      </c>
      <c r="B27" s="20" t="n">
        <v>127</v>
      </c>
      <c r="C27" s="20" t="n">
        <v>127</v>
      </c>
      <c r="D27" s="20" t="n">
        <v>0</v>
      </c>
      <c r="E27" s="20" t="n">
        <v>0</v>
      </c>
      <c r="F27" s="20" t="n">
        <v>0</v>
      </c>
      <c r="G27" s="20" t="n">
        <v>0</v>
      </c>
      <c r="H27" s="20" t="inlineStr">
        <is>
          <t>0%</t>
        </is>
      </c>
    </row>
    <row r="28">
      <c r="A28" s="31" t="inlineStr">
        <is>
          <t>v2.3-Global</t>
        </is>
      </c>
      <c r="B28" s="31" t="n">
        <v>93</v>
      </c>
      <c r="C28" s="31" t="n">
        <v>93</v>
      </c>
      <c r="D28" s="31" t="n">
        <v>0</v>
      </c>
      <c r="E28" s="31" t="n">
        <v>0</v>
      </c>
      <c r="F28" s="31" t="n">
        <v>0</v>
      </c>
      <c r="G28" s="31" t="n">
        <v>0</v>
      </c>
      <c r="H28" s="31" t="inlineStr">
        <is>
          <t>0%</t>
        </is>
      </c>
    </row>
  </sheetData>
  <mergeCells count="4">
    <mergeCell ref="A9:H9"/>
    <mergeCell ref="A21:H21"/>
    <mergeCell ref="A15:H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2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8" customWidth="1" min="10" max="10"/>
    <col width="10" customWidth="1" min="11" max="11"/>
    <col width="80" customWidth="1" min="12" max="12"/>
    <col width="50" customWidth="1" min="13" max="13"/>
    <col width="20" customWidth="1" min="14" max="14"/>
  </cols>
  <sheetData>
    <row r="1">
      <c r="A1" s="21" t="inlineStr">
        <is>
          <t>任务ID</t>
        </is>
      </c>
      <c r="B1" s="21" t="inlineStr">
        <is>
          <t>任务名称</t>
        </is>
      </c>
      <c r="C1" s="21" t="inlineStr">
        <is>
          <t>TDD阶段</t>
        </is>
      </c>
      <c r="D1" s="21" t="inlineStr">
        <is>
          <t>所属模块</t>
        </is>
      </c>
      <c r="E1" s="21" t="inlineStr">
        <is>
          <t>优先级</t>
        </is>
      </c>
      <c r="F1" s="21" t="inlineStr">
        <is>
          <t>负责角色</t>
        </is>
      </c>
      <c r="G1" s="21" t="inlineStr">
        <is>
          <t>预估工时</t>
        </is>
      </c>
      <c r="H1" s="21" t="inlineStr">
        <is>
          <t>开始周</t>
        </is>
      </c>
      <c r="I1" s="21" t="inlineStr">
        <is>
          <t>结束周</t>
        </is>
      </c>
      <c r="J1" s="21" t="inlineStr">
        <is>
          <t>前置依赖</t>
        </is>
      </c>
      <c r="K1" s="21" t="inlineStr">
        <is>
          <t>状态</t>
        </is>
      </c>
      <c r="L1" s="21" t="inlineStr">
        <is>
          <t>详细任务提示词</t>
        </is>
      </c>
      <c r="M1" s="21" t="inlineStr">
        <is>
          <t>验收标准</t>
        </is>
      </c>
      <c r="N1" s="21" t="inlineStr">
        <is>
          <t>备注</t>
        </is>
      </c>
    </row>
    <row r="2">
      <c r="A2" s="22" t="inlineStr">
        <is>
          <t>V25-PCH-001</t>
        </is>
      </c>
      <c r="B2" s="22" t="inlineStr">
        <is>
          <t>静态/动态边界分割 - 测试</t>
        </is>
      </c>
      <c r="C2" s="22" t="inlineStr">
        <is>
          <t>Red测试</t>
        </is>
      </c>
      <c r="D2" s="22" t="inlineStr">
        <is>
          <t>Prompt Cache Harness</t>
        </is>
      </c>
      <c r="E2" s="23" t="inlineStr">
        <is>
          <t>P0</t>
        </is>
      </c>
      <c r="F2" s="22" t="inlineStr">
        <is>
          <t>AI工程师</t>
        </is>
      </c>
      <c r="G2" s="22" t="n">
        <v>3</v>
      </c>
      <c r="H2" s="22" t="inlineStr">
        <is>
          <t>2026-W27</t>
        </is>
      </c>
      <c r="I2" s="22" t="inlineStr">
        <is>
          <t>2026-W28</t>
        </is>
      </c>
      <c r="J2" s="22" t="inlineStr"/>
      <c r="K2" s="24" t="inlineStr">
        <is>
          <t>未开始</t>
        </is>
      </c>
      <c r="L2" s="25" t="inlineStr">
        <is>
          <t>【目标】测试promptBuilder.ts能正确识别静态段（平台指令、写作风格、题材模板）和动态段（章节上下文、角色状态、活跃伏笔），验证DYNAMIC_BOUNDARY标记插入位置正确，静态段约3000 tokens使用global scope缓存。
【运行命令】npm test -- --grep 'PromptBuilder'
【测试文件路径】src/harness/prompt-cache/__tests__/promptBuilder.test.ts
【测试用例清单】1. 静态段包含平台指令+写作风格+题材模板 2. 动态段包含章节上下文+角色状态+伏笔 3. DYNAMIC_BOUNDARY标记位于静态段和动态段之间 4. 静态段token数约3000 5. 动态段每turn重新计算</t>
        </is>
      </c>
      <c r="M2" s="22" t="inlineStr">
        <is>
          <t>所有测试用例通过，静态段正确识别并缓存</t>
        </is>
      </c>
      <c r="N2" s="22" t="inlineStr">
        <is>
          <t>借鉴Claude Code PR#24490 Blake2b哈希碎片化修复</t>
        </is>
      </c>
    </row>
    <row r="3">
      <c r="A3" s="26" t="inlineStr">
        <is>
          <t>V25-PCH-002</t>
        </is>
      </c>
      <c r="B3" s="26" t="inlineStr">
        <is>
          <t>静态/动态边界分割 - 实现</t>
        </is>
      </c>
      <c r="C3" s="26" t="inlineStr">
        <is>
          <t>Green实现</t>
        </is>
      </c>
      <c r="D3" s="26" t="inlineStr">
        <is>
          <t>Prompt Cache Harness</t>
        </is>
      </c>
      <c r="E3" s="23" t="inlineStr">
        <is>
          <t>P0</t>
        </is>
      </c>
      <c r="F3" s="26" t="inlineStr">
        <is>
          <t>AI工程师</t>
        </is>
      </c>
      <c r="G3" s="26" t="n">
        <v>5</v>
      </c>
      <c r="H3" s="26" t="inlineStr">
        <is>
          <t>2026-W27</t>
        </is>
      </c>
      <c r="I3" s="26" t="inlineStr">
        <is>
          <t>2026-W28</t>
        </is>
      </c>
      <c r="J3" s="26" t="inlineStr">
        <is>
          <t>V25-PCH-001</t>
        </is>
      </c>
      <c r="K3" s="24" t="inlineStr">
        <is>
          <t>未开始</t>
        </is>
      </c>
      <c r="L3" s="27" t="inlineStr">
        <is>
          <t>【目标】实现三文件联动协议：promptBuilder.ts产出DYNAMIC_BOUNDARY标记→cacheSplitter.ts消费标记分割为3-4个block→apiRequestBuilder.ts映射为API cache_control blocks。静态段使用global scope缓存，动态段每turn重新计算。
【运行命令】npm test -- --grep 'PromptBuilder'
【实现步骤】1. 创建src/harness/prompt-cache/promptBuilder.ts，实现静态/动态段识别逻辑 2. 创建cacheSplitter.ts，实现三文件联动协议 3. 创建apiRequestBuilder.ts，映射cache_control blocks 4. 集成到REPL循环中
【源文件路径】src/harness/prompt-cache/promptBuilder.ts
【测试文件路径】src/harness/prompt-cache/__tests__/promptBuilder.test.ts</t>
        </is>
      </c>
      <c r="M3" s="26" t="inlineStr">
        <is>
          <t>三文件联动协议正确工作，静态段global scope缓存命中</t>
        </is>
      </c>
      <c r="N3" s="26" t="inlineStr"/>
    </row>
    <row r="4">
      <c r="A4" s="22" t="inlineStr">
        <is>
          <t>V25-PCH-003</t>
        </is>
      </c>
      <c r="B4" s="22" t="inlineStr">
        <is>
          <t>静态/动态边界分割 - 重构</t>
        </is>
      </c>
      <c r="C4" s="22" t="inlineStr">
        <is>
          <t>Refactor重构</t>
        </is>
      </c>
      <c r="D4" s="22" t="inlineStr">
        <is>
          <t>Prompt Cache Harness</t>
        </is>
      </c>
      <c r="E4" s="23" t="inlineStr">
        <is>
          <t>P0</t>
        </is>
      </c>
      <c r="F4" s="22" t="inlineStr">
        <is>
          <t>AI工程师</t>
        </is>
      </c>
      <c r="G4" s="22" t="n">
        <v>2</v>
      </c>
      <c r="H4" s="22" t="inlineStr">
        <is>
          <t>2026-W28</t>
        </is>
      </c>
      <c r="I4" s="22" t="inlineStr">
        <is>
          <t>2026-W29</t>
        </is>
      </c>
      <c r="J4" s="22" t="inlineStr">
        <is>
          <t>V25-PCH-002</t>
        </is>
      </c>
      <c r="K4" s="24" t="inlineStr">
        <is>
          <t>未开始</t>
        </is>
      </c>
      <c r="L4" s="25" t="inlineStr">
        <is>
          <t>【目标】重构promptBuilder.ts的静态/动态段识别逻辑，提取公共方法，优化性能，添加TypeScript类型定义。
【运行命令】npm test -- --grep 'PromptBuilder' &amp;&amp; npm run lint
【源文件路径】src/harness/prompt-cache/promptBuilder.ts</t>
        </is>
      </c>
      <c r="M4" s="22" t="inlineStr">
        <is>
          <t>代码通过lint检查，测试全部通过，性能无回退</t>
        </is>
      </c>
      <c r="N4" s="22" t="inlineStr"/>
    </row>
    <row r="5">
      <c r="A5" s="26" t="inlineStr">
        <is>
          <t>V25-PCH-004</t>
        </is>
      </c>
      <c r="B5" s="26" t="inlineStr">
        <is>
          <t>静态/动态边界分割 - 验收</t>
        </is>
      </c>
      <c r="C5" s="26" t="inlineStr">
        <is>
          <t>Acceptance验收</t>
        </is>
      </c>
      <c r="D5" s="26" t="inlineStr">
        <is>
          <t>Prompt Cache Harness</t>
        </is>
      </c>
      <c r="E5" s="23" t="inlineStr">
        <is>
          <t>P0</t>
        </is>
      </c>
      <c r="F5" s="26" t="inlineStr">
        <is>
          <t>AI工程师</t>
        </is>
      </c>
      <c r="G5" s="26" t="n">
        <v>2</v>
      </c>
      <c r="H5" s="26" t="inlineStr">
        <is>
          <t>2026-W28</t>
        </is>
      </c>
      <c r="I5" s="26" t="inlineStr">
        <is>
          <t>2026-W29</t>
        </is>
      </c>
      <c r="J5" s="26" t="inlineStr">
        <is>
          <t>V25-PCH-003</t>
        </is>
      </c>
      <c r="K5" s="24" t="inlineStr">
        <is>
          <t>未开始</t>
        </is>
      </c>
      <c r="L5" s="27" t="inlineStr">
        <is>
          <t>【目标】验收静态/动态边界分割功能的完整实现，确认缓存命中率符合预期。
【运行命令】npm test -- --grep 'PromptBuilder' &amp;&amp; node scripts/verify-cache-boundary.ts
【验收检查项】1. 静态段正确识别，约3000 tokens 2. DYNAMIC_BOUNDARY标记位置正确 3. 三文件联动协议正常工作 4. global scope缓存命中率&gt;60%</t>
        </is>
      </c>
      <c r="M5" s="26" t="inlineStr">
        <is>
          <t>验收通过，静态段缓存命中率达标</t>
        </is>
      </c>
      <c r="N5" s="26" t="inlineStr"/>
    </row>
    <row r="6">
      <c r="A6" s="22" t="inlineStr">
        <is>
          <t>V25-PCH-005</t>
        </is>
      </c>
      <c r="B6" s="22" t="inlineStr">
        <is>
          <t>三种缓存模式 - 测试</t>
        </is>
      </c>
      <c r="C6" s="22" t="inlineStr">
        <is>
          <t>Red测试</t>
        </is>
      </c>
      <c r="D6" s="22" t="inlineStr">
        <is>
          <t>Prompt Cache Harness</t>
        </is>
      </c>
      <c r="E6" s="23" t="inlineStr">
        <is>
          <t>P0</t>
        </is>
      </c>
      <c r="F6" s="22" t="inlineStr">
        <is>
          <t>AI工程师</t>
        </is>
      </c>
      <c r="G6" s="22" t="n">
        <v>3</v>
      </c>
      <c r="H6" s="22" t="inlineStr">
        <is>
          <t>2026-W27</t>
        </is>
      </c>
      <c r="I6" s="22" t="inlineStr">
        <is>
          <t>2026-W28</t>
        </is>
      </c>
      <c r="J6" s="22" t="inlineStr"/>
      <c r="K6" s="24" t="inlineStr">
        <is>
          <t>未开始</t>
        </is>
      </c>
      <c r="L6" s="25" t="inlineStr">
        <is>
          <t>【目标】测试Global Cache（有boundary+无外部工具，4 blocks）、Org Cache（有外部工具如MCP，3 blocks）、Default（boundary缺失降级，3 blocks）三种模式的自动选择逻辑，验证Attribution header永远不缓存（包含用户fingerprint，每请求不同）。
【运行命令】npm test -- --grep 'CacheMode'
【测试文件路径】src/harness/prompt-cache/__tests__/cacheMode.test.ts
【测试用例清单】1. 有boundary+无外部工具→Global Cache 4 blocks 2. 有MCP工具→Org Cache 3 blocks 3. boundary缺失→Default 3 blocks 4. Attribution header永远不缓存 5. static段使用global scope</t>
        </is>
      </c>
      <c r="M6" s="22" t="inlineStr">
        <is>
          <t>三种缓存模式自动选择逻辑正确</t>
        </is>
      </c>
      <c r="N6" s="22" t="inlineStr"/>
    </row>
    <row r="7">
      <c r="A7" s="26" t="inlineStr">
        <is>
          <t>V25-PCH-006</t>
        </is>
      </c>
      <c r="B7" s="26" t="inlineStr">
        <is>
          <t>三种缓存模式 - 实现</t>
        </is>
      </c>
      <c r="C7" s="26" t="inlineStr">
        <is>
          <t>Green实现</t>
        </is>
      </c>
      <c r="D7" s="26" t="inlineStr">
        <is>
          <t>Prompt Cache Harness</t>
        </is>
      </c>
      <c r="E7" s="23" t="inlineStr">
        <is>
          <t>P0</t>
        </is>
      </c>
      <c r="F7" s="26" t="inlineStr">
        <is>
          <t>AI工程师</t>
        </is>
      </c>
      <c r="G7" s="26" t="n">
        <v>5</v>
      </c>
      <c r="H7" s="26" t="inlineStr">
        <is>
          <t>2026-W27</t>
        </is>
      </c>
      <c r="I7" s="26" t="inlineStr">
        <is>
          <t>2026-W28</t>
        </is>
      </c>
      <c r="J7" s="26" t="inlineStr">
        <is>
          <t>V25-PCH-005</t>
        </is>
      </c>
      <c r="K7" s="24" t="inlineStr">
        <is>
          <t>未开始</t>
        </is>
      </c>
      <c r="L7" s="27" t="inlineStr">
        <is>
          <t>【目标】实现三种缓存模式的自动选择逻辑：Global Cache模式使用4 blocks（attribution+prefix+static+dynamic），Org Cache模式使用3 blocks（attribution+prefix+rest），Default模式使用3 blocks。Attribution header永远不缓存。
【运行命令】npm test -- --grep 'CacheMode'
【实现步骤】1. 创建src/harness/prompt-cache/cacheMode.ts 2. 实现selectCacheMode()函数 3. 实现buildCacheBlocks()函数 4. 集成到cacheSplitter.ts
【源文件路径】src/harness/prompt-cache/cacheMode.ts
【测试文件路径】src/harness/prompt-cache/__tests__/cacheMode.test.ts</t>
        </is>
      </c>
      <c r="M7" s="26" t="inlineStr">
        <is>
          <t>三种缓存模式正确实现并自动选择</t>
        </is>
      </c>
      <c r="N7" s="26" t="inlineStr"/>
    </row>
    <row r="8">
      <c r="A8" s="22" t="inlineStr">
        <is>
          <t>V25-PCH-007</t>
        </is>
      </c>
      <c r="B8" s="22" t="inlineStr">
        <is>
          <t>三种缓存模式 - 重构</t>
        </is>
      </c>
      <c r="C8" s="22" t="inlineStr">
        <is>
          <t>Refactor重构</t>
        </is>
      </c>
      <c r="D8" s="22" t="inlineStr">
        <is>
          <t>Prompt Cache Harness</t>
        </is>
      </c>
      <c r="E8" s="23" t="inlineStr">
        <is>
          <t>P0</t>
        </is>
      </c>
      <c r="F8" s="22" t="inlineStr">
        <is>
          <t>AI工程师</t>
        </is>
      </c>
      <c r="G8" s="22" t="n">
        <v>2</v>
      </c>
      <c r="H8" s="22" t="inlineStr">
        <is>
          <t>2026-W28</t>
        </is>
      </c>
      <c r="I8" s="22" t="inlineStr">
        <is>
          <t>2026-W29</t>
        </is>
      </c>
      <c r="J8" s="22" t="inlineStr">
        <is>
          <t>V25-PCH-006</t>
        </is>
      </c>
      <c r="K8" s="24" t="inlineStr">
        <is>
          <t>未开始</t>
        </is>
      </c>
      <c r="L8" s="25" t="inlineStr">
        <is>
          <t>【目标】重构缓存模式选择逻辑，优化条件判断，提取公共block构建方法。
【运行命令】npm test -- --grep 'CacheMode' &amp;&amp; npm run lint
【源文件路径】src/harness/prompt-cache/cacheMode.ts</t>
        </is>
      </c>
      <c r="M8" s="22" t="inlineStr">
        <is>
          <t>代码通过lint，测试通过，模式选择逻辑清晰</t>
        </is>
      </c>
      <c r="N8" s="22" t="inlineStr"/>
    </row>
    <row r="9">
      <c r="A9" s="26" t="inlineStr">
        <is>
          <t>V25-PCH-008</t>
        </is>
      </c>
      <c r="B9" s="26" t="inlineStr">
        <is>
          <t>三种缓存模式 - 验收</t>
        </is>
      </c>
      <c r="C9" s="26" t="inlineStr">
        <is>
          <t>Acceptance验收</t>
        </is>
      </c>
      <c r="D9" s="26" t="inlineStr">
        <is>
          <t>Prompt Cache Harness</t>
        </is>
      </c>
      <c r="E9" s="23" t="inlineStr">
        <is>
          <t>P0</t>
        </is>
      </c>
      <c r="F9" s="26" t="inlineStr">
        <is>
          <t>AI工程师</t>
        </is>
      </c>
      <c r="G9" s="26" t="n">
        <v>2</v>
      </c>
      <c r="H9" s="26" t="inlineStr">
        <is>
          <t>2026-W28</t>
        </is>
      </c>
      <c r="I9" s="26" t="inlineStr">
        <is>
          <t>2026-W29</t>
        </is>
      </c>
      <c r="J9" s="26" t="inlineStr">
        <is>
          <t>V25-PCH-007</t>
        </is>
      </c>
      <c r="K9" s="24" t="inlineStr">
        <is>
          <t>未开始</t>
        </is>
      </c>
      <c r="L9" s="27" t="inlineStr">
        <is>
          <t>【目标】验收三种缓存模式的完整实现，确认模式切换逻辑正确。
【运行命令】npm test -- --grep 'CacheMode'
【验收检查项】1. Global Cache 4 blocks正确 2. Org Cache 3 blocks正确 3. Default 3 blocks正确 4. Attribution不缓存 5. 模式切换无缓存泄漏</t>
        </is>
      </c>
      <c r="M9" s="26" t="inlineStr">
        <is>
          <t>三种缓存模式验收通过</t>
        </is>
      </c>
      <c r="N9" s="26" t="inlineStr"/>
    </row>
    <row r="10">
      <c r="A10" s="22" t="inlineStr">
        <is>
          <t>V25-PCH-009</t>
        </is>
      </c>
      <c r="B10" s="22" t="inlineStr">
        <is>
          <t>工具Schema两层缓存 - 测试</t>
        </is>
      </c>
      <c r="C10" s="22" t="inlineStr">
        <is>
          <t>Red测试</t>
        </is>
      </c>
      <c r="D10" s="22" t="inlineStr">
        <is>
          <t>Prompt Cache Harness</t>
        </is>
      </c>
      <c r="E10" s="23" t="inlineStr">
        <is>
          <t>P0</t>
        </is>
      </c>
      <c r="F10" s="22" t="inlineStr">
        <is>
          <t>AI工程师</t>
        </is>
      </c>
      <c r="G10" s="22" t="n">
        <v>3</v>
      </c>
      <c r="H10" s="22" t="inlineStr">
        <is>
          <t>2026-W28</t>
        </is>
      </c>
      <c r="I10" s="22" t="inlineStr">
        <is>
          <t>2026-W29</t>
        </is>
      </c>
      <c r="J10" s="22" t="inlineStr"/>
      <c r="K10" s="24" t="inlineStr">
        <is>
          <t>未开始</t>
        </is>
      </c>
      <c r="L10" s="25" t="inlineStr">
        <is>
          <t>【目标】测试cacheKey格式为`${tool.name}:${jsonStringify(tool.inputSchema)}`，会话级TTL=1h，每请求覆盖层处理defer_loading/cache_control。验证同名工具不同schema不会返回错误schema（借鉴Claude Code PR#25424的51%错误率修复）。
【运行命令】npm test -- --grep 'SchemaCache'
【测试文件路径】src/harness/prompt-cache/__tests__/schemaCache.test.ts
【测试用例清单】1. cacheKey包含tool.name和inputSchema 2. 同名工具不同schema返回不同缓存 3. 会话级TTL=1h过期 4. 每请求覆盖层正确处理defer_loading 5. Schema变化时缓存自动失效</t>
        </is>
      </c>
      <c r="M10" s="22" t="inlineStr">
        <is>
          <t>Schema两层缓存逻辑正确，无错误schema返回</t>
        </is>
      </c>
      <c r="N10" s="22" t="inlineStr">
        <is>
          <t>借鉴PR#25424：错误率5.4%→51%</t>
        </is>
      </c>
    </row>
    <row r="11">
      <c r="A11" s="26" t="inlineStr">
        <is>
          <t>V25-PCH-010</t>
        </is>
      </c>
      <c r="B11" s="26" t="inlineStr">
        <is>
          <t>工具Schema两层缓存 - 实现</t>
        </is>
      </c>
      <c r="C11" s="26" t="inlineStr">
        <is>
          <t>Green实现</t>
        </is>
      </c>
      <c r="D11" s="26" t="inlineStr">
        <is>
          <t>Prompt Cache Harness</t>
        </is>
      </c>
      <c r="E11" s="23" t="inlineStr">
        <is>
          <t>P0</t>
        </is>
      </c>
      <c r="F11" s="26" t="inlineStr">
        <is>
          <t>AI工程师</t>
        </is>
      </c>
      <c r="G11" s="26" t="n">
        <v>4</v>
      </c>
      <c r="H11" s="26" t="inlineStr">
        <is>
          <t>2026-W28</t>
        </is>
      </c>
      <c r="I11" s="26" t="inlineStr">
        <is>
          <t>2026-W29</t>
        </is>
      </c>
      <c r="J11" s="26" t="inlineStr">
        <is>
          <t>V25-PCH-009</t>
        </is>
      </c>
      <c r="K11" s="24" t="inlineStr">
        <is>
          <t>未开始</t>
        </is>
      </c>
      <c r="L11" s="27" t="inlineStr">
        <is>
          <t>【目标】实现工具Schema两层缓存：会话级缓存基础schema（name, description, input_schema, strict），每请求覆盖层处理defer_loading和cache_control。cacheKey使用tool.name+jsonStringify(tool.inputSchema)确保唯一性。
【运行命令】npm test -- --grep 'SchemaCache'
【实现步骤】1. 创建src/harness/prompt-cache/schemaCache.ts 2. 实现SessionSchemaCache类 3. 实现getSchema()和invalidateSchema()方法 4. 集成到apiRequestBuilder.ts
【源文件路径】src/harness/prompt-cache/schemaCache.ts
【测试文件路径】src/harness/prompt-cache/__tests__/schemaCache.test.ts</t>
        </is>
      </c>
      <c r="M11" s="26" t="inlineStr">
        <is>
          <t>Schema两层缓存正确实现，TTL过期机制工作</t>
        </is>
      </c>
      <c r="N11" s="26" t="inlineStr"/>
    </row>
    <row r="12">
      <c r="A12" s="22" t="inlineStr">
        <is>
          <t>V25-PCH-011</t>
        </is>
      </c>
      <c r="B12" s="22" t="inlineStr">
        <is>
          <t>工具Schema两层缓存 - 重构</t>
        </is>
      </c>
      <c r="C12" s="22" t="inlineStr">
        <is>
          <t>Refactor重构</t>
        </is>
      </c>
      <c r="D12" s="22" t="inlineStr">
        <is>
          <t>Prompt Cache Harness</t>
        </is>
      </c>
      <c r="E12" s="23" t="inlineStr">
        <is>
          <t>P0</t>
        </is>
      </c>
      <c r="F12" s="22" t="inlineStr">
        <is>
          <t>AI工程师</t>
        </is>
      </c>
      <c r="G12" s="22" t="n">
        <v>2</v>
      </c>
      <c r="H12" s="22" t="inlineStr">
        <is>
          <t>2026-W29</t>
        </is>
      </c>
      <c r="I12" s="22" t="inlineStr">
        <is>
          <t>2026-W30</t>
        </is>
      </c>
      <c r="J12" s="22" t="inlineStr">
        <is>
          <t>V25-PCH-010</t>
        </is>
      </c>
      <c r="K12" s="24" t="inlineStr">
        <is>
          <t>未开始</t>
        </is>
      </c>
      <c r="L12" s="25" t="inlineStr">
        <is>
          <t>【目标】重构Schema缓存实现，优化缓存键计算性能，添加缓存统计。
【运行命令】npm test -- --grep 'SchemaCache' &amp;&amp; npm run lint
【源文件路径】src/harness/prompt-cache/schemaCache.ts</t>
        </is>
      </c>
      <c r="M12" s="22" t="inlineStr">
        <is>
          <t>重构完成，测试通过，lint通过</t>
        </is>
      </c>
      <c r="N12" s="22" t="inlineStr"/>
    </row>
    <row r="13">
      <c r="A13" s="26" t="inlineStr">
        <is>
          <t>V25-PCH-012</t>
        </is>
      </c>
      <c r="B13" s="26" t="inlineStr">
        <is>
          <t>工具Schema两层缓存 - 验收</t>
        </is>
      </c>
      <c r="C13" s="26" t="inlineStr">
        <is>
          <t>Acceptance验收</t>
        </is>
      </c>
      <c r="D13" s="26" t="inlineStr">
        <is>
          <t>Prompt Cache Harness</t>
        </is>
      </c>
      <c r="E13" s="23" t="inlineStr">
        <is>
          <t>P0</t>
        </is>
      </c>
      <c r="F13" s="26" t="inlineStr">
        <is>
          <t>AI工程师</t>
        </is>
      </c>
      <c r="G13" s="26" t="n">
        <v>2</v>
      </c>
      <c r="H13" s="26" t="inlineStr">
        <is>
          <t>2026-W29</t>
        </is>
      </c>
      <c r="I13" s="26" t="inlineStr">
        <is>
          <t>2026-W30</t>
        </is>
      </c>
      <c r="J13" s="26" t="inlineStr">
        <is>
          <t>V25-PCH-011</t>
        </is>
      </c>
      <c r="K13" s="24" t="inlineStr">
        <is>
          <t>未开始</t>
        </is>
      </c>
      <c r="L13" s="27" t="inlineStr">
        <is>
          <t>【目标】验收Schema两层缓存，确认同名不同schema工具不会混淆。
【运行命令】npm test -- --grep 'SchemaCache'
【验收检查项】1. 同名工具不同schema正确区分 2. TTL过期自动清理 3. 覆盖层正确应用 4. 缓存命中率&gt;80%</t>
        </is>
      </c>
      <c r="M13" s="26" t="inlineStr">
        <is>
          <t>Schema缓存验收通过</t>
        </is>
      </c>
      <c r="N13" s="26" t="inlineStr"/>
    </row>
    <row r="14">
      <c r="A14" s="22" t="inlineStr">
        <is>
          <t>V25-PCH-013</t>
        </is>
      </c>
      <c r="B14" s="22" t="inlineStr">
        <is>
          <t>Sticky-on Latch + TTL锁存 - 测试</t>
        </is>
      </c>
      <c r="C14" s="22" t="inlineStr">
        <is>
          <t>Red测试</t>
        </is>
      </c>
      <c r="D14" s="22" t="inlineStr">
        <is>
          <t>Prompt Cache Harness</t>
        </is>
      </c>
      <c r="E14" s="23" t="inlineStr">
        <is>
          <t>P0</t>
        </is>
      </c>
      <c r="F14" s="22" t="inlineStr">
        <is>
          <t>AI工程师</t>
        </is>
      </c>
      <c r="G14" s="22" t="n">
        <v>3</v>
      </c>
      <c r="H14" s="22" t="inlineStr">
        <is>
          <t>2026-W29</t>
        </is>
      </c>
      <c r="I14" s="22" t="inlineStr">
        <is>
          <t>2026-W30</t>
        </is>
      </c>
      <c r="J14" s="22" t="inlineStr"/>
      <c r="K14" s="24" t="inlineStr">
        <is>
          <t>未开始</t>
        </is>
      </c>
      <c r="L14" s="25" t="inlineStr">
        <is>
          <t>【目标】测试已启用beta功能Set只增不减（Sticky-on Latch），1h TTL锁存首次评估后锁存到bootstrap state整个会话不再变化。验证mid-session flip不会导致缓存失效（每个flip约50-70K token bust成本）。
【运行命令】npm test -- --grep 'StickyLatch'
【测试文件路径】src/harness/prompt-cache/__tests__/stickyLatch.test.ts
【测试用例清单】1. beta功能启用后加入Set，不可移除 2. 1h TTL首次评估后锁存 3. mid-session flip不触发缓存失效 4. 会话结束清理所有latch状态 5. 多个beta功能独立latch</t>
        </is>
      </c>
      <c r="M14" s="22" t="inlineStr">
        <is>
          <t>Sticky Latch和TTL锁存逻辑正确</t>
        </is>
      </c>
      <c r="N14" s="22" t="inlineStr">
        <is>
          <t>借鉴Claude Code：~50-70K token/flip bust成本</t>
        </is>
      </c>
    </row>
    <row r="15">
      <c r="A15" s="26" t="inlineStr">
        <is>
          <t>V25-PCH-014</t>
        </is>
      </c>
      <c r="B15" s="26" t="inlineStr">
        <is>
          <t>Sticky-on Latch + TTL锁存 - 实现</t>
        </is>
      </c>
      <c r="C15" s="26" t="inlineStr">
        <is>
          <t>Green实现</t>
        </is>
      </c>
      <c r="D15" s="26" t="inlineStr">
        <is>
          <t>Prompt Cache Harness</t>
        </is>
      </c>
      <c r="E15" s="23" t="inlineStr">
        <is>
          <t>P0</t>
        </is>
      </c>
      <c r="F15" s="26" t="inlineStr">
        <is>
          <t>AI工程师</t>
        </is>
      </c>
      <c r="G15" s="26" t="n">
        <v>4</v>
      </c>
      <c r="H15" s="26" t="inlineStr">
        <is>
          <t>2026-W29</t>
        </is>
      </c>
      <c r="I15" s="26" t="inlineStr">
        <is>
          <t>2026-W30</t>
        </is>
      </c>
      <c r="J15" s="26" t="inlineStr">
        <is>
          <t>V25-PCH-013</t>
        </is>
      </c>
      <c r="K15" s="24" t="inlineStr">
        <is>
          <t>未开始</t>
        </is>
      </c>
      <c r="L15" s="27" t="inlineStr">
        <is>
          <t>【目标】实现Sticky-on Latch机制：使用Set&lt;string&gt;记录已启用beta功能，会话内只增不减。实现1h TTL锁存：用户配额资格首次评估后锁存到bootstrap state，TTL=3600000ms。
【运行命令】npm test -- --grep 'StickyLatch'
【实现步骤】1. 创建src/harness/prompt-cache/stickyLatch.ts 2. 实现StickyLatch类（add/has/clear方法） 3. 实现TTLLatch类（evaluate/lock/isLocked方法） 4. 集成到REPL循环
【源文件路径】src/harness/prompt-cache/stickyLatch.ts
【测试文件路径】src/harness/prompt-cache/__tests__/stickyLatch.test.ts</t>
        </is>
      </c>
      <c r="M15" s="26" t="inlineStr">
        <is>
          <t>Sticky Latch和TTL锁存正确实现</t>
        </is>
      </c>
      <c r="N15" s="26" t="inlineStr"/>
    </row>
    <row r="16">
      <c r="A16" s="22" t="inlineStr">
        <is>
          <t>V25-PCH-015</t>
        </is>
      </c>
      <c r="B16" s="22" t="inlineStr">
        <is>
          <t>Sticky-on Latch + TTL锁存 - 重构</t>
        </is>
      </c>
      <c r="C16" s="22" t="inlineStr">
        <is>
          <t>Refactor重构</t>
        </is>
      </c>
      <c r="D16" s="22" t="inlineStr">
        <is>
          <t>Prompt Cache Harness</t>
        </is>
      </c>
      <c r="E16" s="23" t="inlineStr">
        <is>
          <t>P0</t>
        </is>
      </c>
      <c r="F16" s="22" t="inlineStr">
        <is>
          <t>AI工程师</t>
        </is>
      </c>
      <c r="G16" s="22" t="n">
        <v>2</v>
      </c>
      <c r="H16" s="22" t="inlineStr">
        <is>
          <t>2026-W29</t>
        </is>
      </c>
      <c r="I16" s="22" t="inlineStr">
        <is>
          <t>2026-W30</t>
        </is>
      </c>
      <c r="J16" s="22" t="inlineStr">
        <is>
          <t>V25-PCH-014</t>
        </is>
      </c>
      <c r="K16" s="24" t="inlineStr">
        <is>
          <t>未开始</t>
        </is>
      </c>
      <c r="L16" s="25" t="inlineStr">
        <is>
          <t>【目标】重构Latch实现，优化内存管理，添加latch状态监控。
【运行命令】npm test -- --grep 'StickyLatch' &amp;&amp; npm run lint
【源文件路径】src/harness/prompt-cache/stickyLatch.ts</t>
        </is>
      </c>
      <c r="M16" s="22" t="inlineStr">
        <is>
          <t>重构完成，测试和lint通过</t>
        </is>
      </c>
      <c r="N16" s="22" t="inlineStr"/>
    </row>
    <row r="17">
      <c r="A17" s="26" t="inlineStr">
        <is>
          <t>V25-PCH-016</t>
        </is>
      </c>
      <c r="B17" s="26" t="inlineStr">
        <is>
          <t>Sticky-on Latch + TTL锁存 - 验收</t>
        </is>
      </c>
      <c r="C17" s="26" t="inlineStr">
        <is>
          <t>Acceptance验收</t>
        </is>
      </c>
      <c r="D17" s="26" t="inlineStr">
        <is>
          <t>Prompt Cache Harness</t>
        </is>
      </c>
      <c r="E17" s="23" t="inlineStr">
        <is>
          <t>P0</t>
        </is>
      </c>
      <c r="F17" s="26" t="inlineStr">
        <is>
          <t>AI工程师</t>
        </is>
      </c>
      <c r="G17" s="26" t="n">
        <v>2</v>
      </c>
      <c r="H17" s="26" t="inlineStr">
        <is>
          <t>2026-W30</t>
        </is>
      </c>
      <c r="I17" s="26" t="inlineStr">
        <is>
          <t>2026-W31</t>
        </is>
      </c>
      <c r="J17" s="26" t="inlineStr">
        <is>
          <t>V25-PCH-015</t>
        </is>
      </c>
      <c r="K17" s="24" t="inlineStr">
        <is>
          <t>未开始</t>
        </is>
      </c>
      <c r="L17" s="27" t="inlineStr">
        <is>
          <t>【目标】验收Sticky Latch和TTL锁存，确认mid-session不触发缓存失效。
【运行命令】npm test -- --grep 'StickyLatch'
【验收检查项】1. beta功能只增不减 2. TTL锁存正确工作 3. mid-session flip无缓存bust 4. 会话结束正确清理</t>
        </is>
      </c>
      <c r="M17" s="26" t="inlineStr">
        <is>
          <t>Sticky Latch验收通过</t>
        </is>
      </c>
      <c r="N17" s="26" t="inlineStr"/>
    </row>
    <row r="18">
      <c r="A18" s="22" t="inlineStr">
        <is>
          <t>V25-PCH-017</t>
        </is>
      </c>
      <c r="B18" s="22" t="inlineStr">
        <is>
          <t>cache_reference精确放置 - 测试</t>
        </is>
      </c>
      <c r="C18" s="22" t="inlineStr">
        <is>
          <t>Red测试</t>
        </is>
      </c>
      <c r="D18" s="22" t="inlineStr">
        <is>
          <t>Prompt Cache Harness</t>
        </is>
      </c>
      <c r="E18" s="23" t="inlineStr">
        <is>
          <t>P0</t>
        </is>
      </c>
      <c r="F18" s="22" t="inlineStr">
        <is>
          <t>AI工程师</t>
        </is>
      </c>
      <c r="G18" s="22" t="n">
        <v>2</v>
      </c>
      <c r="H18" s="22" t="inlineStr">
        <is>
          <t>2026-W30</t>
        </is>
      </c>
      <c r="I18" s="22" t="inlineStr">
        <is>
          <t>2026-W31</t>
        </is>
      </c>
      <c r="J18" s="22" t="inlineStr"/>
      <c r="K18" s="24" t="inlineStr">
        <is>
          <t>未开始</t>
        </is>
      </c>
      <c r="L18" s="25" t="inlineStr">
        <is>
          <t>【目标】测试每个请求只在最后一个消息放置cache_control marker，避免多marker导致KV缓存空间浪费（Mycroft的turn-to-turn驱逐策略会保护多余位置但永远不会恢复）。
【运行命令】npm test -- --grep 'CacheReference'
【测试文件路径】src/harness/prompt-cache/__tests__/cacheReference.test.ts
【测试用例清单】1. 只有最后一个消息有cache_control 2. 中间消息无cache_control marker 3. 单消息请求正确放置 4. 多消息请求只在最后放置</t>
        </is>
      </c>
      <c r="M18" s="22" t="inlineStr">
        <is>
          <t>cache_reference精确放置逻辑正确</t>
        </is>
      </c>
      <c r="N18" s="22" t="inlineStr"/>
    </row>
    <row r="19">
      <c r="A19" s="26" t="inlineStr">
        <is>
          <t>V25-PCH-018</t>
        </is>
      </c>
      <c r="B19" s="26" t="inlineStr">
        <is>
          <t>cache_reference精确放置 - 实现</t>
        </is>
      </c>
      <c r="C19" s="26" t="inlineStr">
        <is>
          <t>Green实现</t>
        </is>
      </c>
      <c r="D19" s="26" t="inlineStr">
        <is>
          <t>Prompt Cache Harness</t>
        </is>
      </c>
      <c r="E19" s="23" t="inlineStr">
        <is>
          <t>P0</t>
        </is>
      </c>
      <c r="F19" s="26" t="inlineStr">
        <is>
          <t>AI工程师</t>
        </is>
      </c>
      <c r="G19" s="26" t="n">
        <v>3</v>
      </c>
      <c r="H19" s="26" t="inlineStr">
        <is>
          <t>2026-W30</t>
        </is>
      </c>
      <c r="I19" s="26" t="inlineStr">
        <is>
          <t>2026-W31</t>
        </is>
      </c>
      <c r="J19" s="26" t="inlineStr">
        <is>
          <t>V25-PCH-017</t>
        </is>
      </c>
      <c r="K19" s="24" t="inlineStr">
        <is>
          <t>未开始</t>
        </is>
      </c>
      <c r="L19" s="27" t="inlineStr">
        <is>
          <t>【目标】实现cache_reference精确放置逻辑：在构建API请求时，遍历消息数组，只在最后一个消息添加cache_control: {type: 'ephemeral'} marker。
【运行命令】npm test -- --grep 'CacheReference'
【实现步骤】1. 创建src/harness/prompt-cache/cacheReference.ts 2. 实现placeCacheReference()函数 3. 集成到apiRequestBuilder.ts
【源文件路径】src/harness/prompt-cache/cacheReference.ts
【测试文件路径】src/harness/prompt-cache/__tests__/cacheReference.test.ts</t>
        </is>
      </c>
      <c r="M19" s="26" t="inlineStr">
        <is>
          <t>cache_reference只在最后消息放置</t>
        </is>
      </c>
      <c r="N19" s="26" t="inlineStr"/>
    </row>
    <row r="20">
      <c r="A20" s="22" t="inlineStr">
        <is>
          <t>V25-PCH-019</t>
        </is>
      </c>
      <c r="B20" s="22" t="inlineStr">
        <is>
          <t>cache_reference精确放置 - 验收</t>
        </is>
      </c>
      <c r="C20" s="22" t="inlineStr">
        <is>
          <t>Acceptance验收</t>
        </is>
      </c>
      <c r="D20" s="22" t="inlineStr">
        <is>
          <t>Prompt Cache Harness</t>
        </is>
      </c>
      <c r="E20" s="23" t="inlineStr">
        <is>
          <t>P0</t>
        </is>
      </c>
      <c r="F20" s="22" t="inlineStr">
        <is>
          <t>AI工程师</t>
        </is>
      </c>
      <c r="G20" s="22" t="n">
        <v>2</v>
      </c>
      <c r="H20" s="22" t="inlineStr">
        <is>
          <t>2026-W30</t>
        </is>
      </c>
      <c r="I20" s="22" t="inlineStr">
        <is>
          <t>2026-W31</t>
        </is>
      </c>
      <c r="J20" s="22" t="inlineStr">
        <is>
          <t>V25-PCH-018</t>
        </is>
      </c>
      <c r="K20" s="24" t="inlineStr">
        <is>
          <t>未开始</t>
        </is>
      </c>
      <c r="L20" s="25" t="inlineStr">
        <is>
          <t>【目标】验收cache_reference精确放置功能。
【运行命令】npm test -- --grep 'CacheReference'
【验收检查项】1. 只在最后消息放置marker 2. KV缓存空间无浪费 3. 多轮对话缓存命中率正常</t>
        </is>
      </c>
      <c r="M20" s="22" t="inlineStr">
        <is>
          <t>cache_reference验收通过</t>
        </is>
      </c>
      <c r="N20" s="22" t="inlineStr"/>
    </row>
    <row r="21">
      <c r="A21" s="26" t="inlineStr">
        <is>
          <t>V25-PCH-020</t>
        </is>
      </c>
      <c r="B21" s="26" t="inlineStr">
        <is>
          <t>缓存命中率监控 - 测试</t>
        </is>
      </c>
      <c r="C21" s="26" t="inlineStr">
        <is>
          <t>Red测试</t>
        </is>
      </c>
      <c r="D21" s="26" t="inlineStr">
        <is>
          <t>Prompt Cache Harness</t>
        </is>
      </c>
      <c r="E21" s="23" t="inlineStr">
        <is>
          <t>P0</t>
        </is>
      </c>
      <c r="F21" s="26" t="inlineStr">
        <is>
          <t>后端</t>
        </is>
      </c>
      <c r="G21" s="26" t="n">
        <v>2</v>
      </c>
      <c r="H21" s="26" t="inlineStr">
        <is>
          <t>2026-W30</t>
        </is>
      </c>
      <c r="I21" s="26" t="inlineStr">
        <is>
          <t>2026-W31</t>
        </is>
      </c>
      <c r="J21" s="26" t="inlineStr"/>
      <c r="K21" s="24" t="inlineStr">
        <is>
          <t>未开始</t>
        </is>
      </c>
      <c r="L21" s="27" t="inlineStr">
        <is>
          <t>【目标】测试CacheMetrics接口：cacheCreationTokens、cacheReadTokens、hitRate、bustEvents。验证每次API请求后正确更新指标，hitRate计算准确。
【运行命令】npm test -- --grep 'CacheMetrics'
【测试文件路径】src/harness/prompt-cache/__tests__/cacheMetrics.test.ts
【测试用例清单】1. cacheCreationTokens正确累加 2. cacheReadTokens正确累加 3. hitRate=cacheReadTokens/(cacheCreationTokens+cacheReadTokens) 4. bustEvents正确记录 5. 指标可持久化到数据库</t>
        </is>
      </c>
      <c r="M21" s="26" t="inlineStr">
        <is>
          <t>缓存监控指标正确记录和计算</t>
        </is>
      </c>
      <c r="N21" s="26" t="inlineStr"/>
    </row>
    <row r="22">
      <c r="A22" s="22" t="inlineStr">
        <is>
          <t>V25-PCH-021</t>
        </is>
      </c>
      <c r="B22" s="22" t="inlineStr">
        <is>
          <t>缓存命中率监控 - 实现</t>
        </is>
      </c>
      <c r="C22" s="22" t="inlineStr">
        <is>
          <t>Green实现</t>
        </is>
      </c>
      <c r="D22" s="22" t="inlineStr">
        <is>
          <t>Prompt Cache Harness</t>
        </is>
      </c>
      <c r="E22" s="23" t="inlineStr">
        <is>
          <t>P0</t>
        </is>
      </c>
      <c r="F22" s="22" t="inlineStr">
        <is>
          <t>后端</t>
        </is>
      </c>
      <c r="G22" s="22" t="n">
        <v>3</v>
      </c>
      <c r="H22" s="22" t="inlineStr">
        <is>
          <t>2026-W30</t>
        </is>
      </c>
      <c r="I22" s="22" t="inlineStr">
        <is>
          <t>2026-W31</t>
        </is>
      </c>
      <c r="J22" s="22" t="inlineStr">
        <is>
          <t>V25-PCH-020</t>
        </is>
      </c>
      <c r="K22" s="24" t="inlineStr">
        <is>
          <t>未开始</t>
        </is>
      </c>
      <c r="L22" s="25" t="inlineStr">
        <is>
          <t>【目标】实现CacheMetrics接口和监控服务：每次API请求后从响应头提取cache_creation和cache_read token数，计算hitRate，记录bustEvents。目标命中率&gt;70%，单次bust&lt;20K tokens。
【运行命令】npm test -- --grep 'CacheMetrics'
【实现步骤】1. 创建src/harness/prompt-cache/cacheMetrics.ts 2. 实现CacheMetricsCollector类 3. 实现指标持久化到prompt_cache_entries表 4. 添加Prometheus metrics暴露
【源文件路径】src/harness/prompt-cache/cacheMetrics.ts
【测试文件路径】src/harness/prompt-cache/__tests__/cacheMetrics.test.ts</t>
        </is>
      </c>
      <c r="M22" s="22" t="inlineStr">
        <is>
          <t>缓存监控服务正确工作，指标可查询</t>
        </is>
      </c>
      <c r="N22" s="22" t="inlineStr"/>
    </row>
    <row r="23">
      <c r="A23" s="26" t="inlineStr">
        <is>
          <t>V25-PCH-022</t>
        </is>
      </c>
      <c r="B23" s="26" t="inlineStr">
        <is>
          <t>缓存命中率监控 - 验收</t>
        </is>
      </c>
      <c r="C23" s="26" t="inlineStr">
        <is>
          <t>Acceptance验收</t>
        </is>
      </c>
      <c r="D23" s="26" t="inlineStr">
        <is>
          <t>Prompt Cache Harness</t>
        </is>
      </c>
      <c r="E23" s="23" t="inlineStr">
        <is>
          <t>P0</t>
        </is>
      </c>
      <c r="F23" s="26" t="inlineStr">
        <is>
          <t>后端</t>
        </is>
      </c>
      <c r="G23" s="26" t="n">
        <v>2</v>
      </c>
      <c r="H23" s="26" t="inlineStr">
        <is>
          <t>2026-W30</t>
        </is>
      </c>
      <c r="I23" s="26" t="inlineStr">
        <is>
          <t>2026-W31</t>
        </is>
      </c>
      <c r="J23" s="26" t="inlineStr">
        <is>
          <t>V25-PCH-021</t>
        </is>
      </c>
      <c r="K23" s="24" t="inlineStr">
        <is>
          <t>未开始</t>
        </is>
      </c>
      <c r="L23" s="27" t="inlineStr">
        <is>
          <t>【目标】验收缓存命中率监控，确认指标准确可查。
【运行命令】npm test -- --grep 'CacheMetrics'
【验收检查项】1. hitRate计算准确 2. bustEvents正确记录 3. 指标可查询和展示 4. Prometheus metrics正常暴露</t>
        </is>
      </c>
      <c r="M23" s="26" t="inlineStr">
        <is>
          <t>缓存监控验收通过，目标命中率&gt;70%</t>
        </is>
      </c>
      <c r="N23" s="26" t="inlineStr"/>
    </row>
    <row r="24">
      <c r="A24" s="22" t="inlineStr">
        <is>
          <t>V25-PMH-001</t>
        </is>
      </c>
      <c r="B24" s="22" t="inlineStr">
        <is>
          <t>Fail-closed一致性检查器 - 测试</t>
        </is>
      </c>
      <c r="C24" s="22" t="inlineStr">
        <is>
          <t>Red测试</t>
        </is>
      </c>
      <c r="D24" s="22" t="inlineStr">
        <is>
          <t>Permission Harness</t>
        </is>
      </c>
      <c r="E24" s="23" t="inlineStr">
        <is>
          <t>P0</t>
        </is>
      </c>
      <c r="F24" s="22" t="inlineStr">
        <is>
          <t>AI工程师</t>
        </is>
      </c>
      <c r="G24" s="22" t="n">
        <v>3</v>
      </c>
      <c r="H24" s="22" t="inlineStr">
        <is>
          <t>2026-W27</t>
        </is>
      </c>
      <c r="I24" s="22" t="inlineStr">
        <is>
          <t>2026-W28</t>
        </is>
      </c>
      <c r="J24" s="22" t="inlineStr"/>
      <c r="K24" s="24" t="inlineStr">
        <is>
          <t>未开始</t>
        </is>
      </c>
      <c r="L24" s="25" t="inlineStr">
        <is>
          <t>【目标】测试Fail-closed一致性检查器：所有异常情况默认shouldBlock:true。异常矩阵包括：分类器解析失败、API错误、用户中断、Transcript太长、工具参数异常。验证误报代价远低于漏报——用户可手动批准被阻止的操作。
【运行命令】npm test -- --grep 'FailClosedClassifier'
【测试文件路径】src/harness/permission/__tests__/failClosedClassifier.test.ts
【测试用例清单】1. 解析失败→shouldBlock:true 2. API错误→shouldBlock:true 3. 用户中断→shouldBlock:true 4. Transcript太长→shouldBlock:true 5. 工具参数异常→shouldBlock:true 6. 正常操作→shouldBlock:false</t>
        </is>
      </c>
      <c r="M24" s="22" t="inlineStr">
        <is>
          <t>所有异常情况默认阻止，正常操作正确放行</t>
        </is>
      </c>
      <c r="N24" s="22" t="inlineStr"/>
    </row>
    <row r="25">
      <c r="A25" s="26" t="inlineStr">
        <is>
          <t>V25-PMH-002</t>
        </is>
      </c>
      <c r="B25" s="26" t="inlineStr">
        <is>
          <t>Fail-closed一致性检查器 - 实现</t>
        </is>
      </c>
      <c r="C25" s="26" t="inlineStr">
        <is>
          <t>Green实现</t>
        </is>
      </c>
      <c r="D25" s="26" t="inlineStr">
        <is>
          <t>Permission Harness</t>
        </is>
      </c>
      <c r="E25" s="23" t="inlineStr">
        <is>
          <t>P0</t>
        </is>
      </c>
      <c r="F25" s="26" t="inlineStr">
        <is>
          <t>AI工程师</t>
        </is>
      </c>
      <c r="G25" s="26" t="n">
        <v>5</v>
      </c>
      <c r="H25" s="26" t="inlineStr">
        <is>
          <t>2026-W27</t>
        </is>
      </c>
      <c r="I25" s="26" t="inlineStr">
        <is>
          <t>2026-W28</t>
        </is>
      </c>
      <c r="J25" s="26" t="inlineStr">
        <is>
          <t>V25-PMH-001</t>
        </is>
      </c>
      <c r="K25" s="24" t="inlineStr">
        <is>
          <t>未开始</t>
        </is>
      </c>
      <c r="L25" s="27" t="inlineStr">
        <is>
          <t>【目标】实现Fail-closed一致性检查器：创建ConsistencyClassifier类，所有异常处理路径返回{shouldBlock:true, reason}。定义操作风险等级矩阵：批量删除章节/覆盖核心设定=高危需确认；自动续写/一致性检查/创建分支=低危自动放行。
【运行命令】npm test -- --grep 'FailClosedClassifier'
【实现步骤】1. 创建src/harness/permission/failClosedClassifier.ts 2. 实现classify()方法及异常处理矩阵 3. 定义操作风险等级 4. 集成到REPL循环的Permission预检点
【源文件路径】src/harness/permission/failClosedClassifier.ts
【测试文件路径】src/harness/permission/__tests__/failClosedClassifier.test.ts</t>
        </is>
      </c>
      <c r="M25" s="26" t="inlineStr">
        <is>
          <t>Fail-closed检查器正确实现</t>
        </is>
      </c>
      <c r="N25" s="26" t="inlineStr"/>
    </row>
    <row r="26">
      <c r="A26" s="22" t="inlineStr">
        <is>
          <t>V25-PMH-003</t>
        </is>
      </c>
      <c r="B26" s="22" t="inlineStr">
        <is>
          <t>Fail-closed一致性检查器 - 重构</t>
        </is>
      </c>
      <c r="C26" s="22" t="inlineStr">
        <is>
          <t>Refactor重构</t>
        </is>
      </c>
      <c r="D26" s="22" t="inlineStr">
        <is>
          <t>Permission Harness</t>
        </is>
      </c>
      <c r="E26" s="23" t="inlineStr">
        <is>
          <t>P0</t>
        </is>
      </c>
      <c r="F26" s="22" t="inlineStr">
        <is>
          <t>AI工程师</t>
        </is>
      </c>
      <c r="G26" s="22" t="n">
        <v>2</v>
      </c>
      <c r="H26" s="22" t="inlineStr">
        <is>
          <t>2026-W28</t>
        </is>
      </c>
      <c r="I26" s="22" t="inlineStr">
        <is>
          <t>2026-W29</t>
        </is>
      </c>
      <c r="J26" s="22" t="inlineStr">
        <is>
          <t>V25-PMH-002</t>
        </is>
      </c>
      <c r="K26" s="24" t="inlineStr">
        <is>
          <t>未开始</t>
        </is>
      </c>
      <c r="L26" s="25" t="inlineStr">
        <is>
          <t>【目标】重构一致性检查器，优化异常处理路径，提取风险等级配置为独立模块。
【运行命令】npm test -- --grep 'FailClosedClassifier' &amp;&amp; npm run lint
【源文件路径】src/harness/permission/failClosedClassifier.ts</t>
        </is>
      </c>
      <c r="M26" s="22" t="inlineStr">
        <is>
          <t>重构完成，测试和lint通过</t>
        </is>
      </c>
      <c r="N26" s="22" t="inlineStr"/>
    </row>
    <row r="27">
      <c r="A27" s="26" t="inlineStr">
        <is>
          <t>V25-PMH-004</t>
        </is>
      </c>
      <c r="B27" s="26" t="inlineStr">
        <is>
          <t>Fail-closed一致性检查器 - 验收</t>
        </is>
      </c>
      <c r="C27" s="26" t="inlineStr">
        <is>
          <t>Acceptance验收</t>
        </is>
      </c>
      <c r="D27" s="26" t="inlineStr">
        <is>
          <t>Permission Harness</t>
        </is>
      </c>
      <c r="E27" s="23" t="inlineStr">
        <is>
          <t>P0</t>
        </is>
      </c>
      <c r="F27" s="26" t="inlineStr">
        <is>
          <t>AI工程师</t>
        </is>
      </c>
      <c r="G27" s="26" t="n">
        <v>2</v>
      </c>
      <c r="H27" s="26" t="inlineStr">
        <is>
          <t>2026-W28</t>
        </is>
      </c>
      <c r="I27" s="26" t="inlineStr">
        <is>
          <t>2026-W29</t>
        </is>
      </c>
      <c r="J27" s="26" t="inlineStr">
        <is>
          <t>V25-PMH-003</t>
        </is>
      </c>
      <c r="K27" s="24" t="inlineStr">
        <is>
          <t>未开始</t>
        </is>
      </c>
      <c r="L27" s="27" t="inlineStr">
        <is>
          <t>【目标】验收Fail-closed一致性检查器，确认安全默认行为。
【运行命令】npm test -- --grep 'FailClosedClassifier'
【验收检查项】1. 所有异常路径返回shouldBlock:true 2. 正常操作正确分类 3. 风险等级矩阵准确 4. 误报可通过手动批准解决</t>
        </is>
      </c>
      <c r="M27" s="26" t="inlineStr">
        <is>
          <t>Fail-closed检查器验收通过</t>
        </is>
      </c>
      <c r="N27" s="26" t="inlineStr"/>
    </row>
    <row r="28">
      <c r="A28" s="22" t="inlineStr">
        <is>
          <t>V25-PMH-005</t>
        </is>
      </c>
      <c r="B28" s="22" t="inlineStr">
        <is>
          <t>两阶段XML分类器 - 测试</t>
        </is>
      </c>
      <c r="C28" s="22" t="inlineStr">
        <is>
          <t>Red测试</t>
        </is>
      </c>
      <c r="D28" s="22" t="inlineStr">
        <is>
          <t>Permission Harness</t>
        </is>
      </c>
      <c r="E28" s="23" t="inlineStr">
        <is>
          <t>P0</t>
        </is>
      </c>
      <c r="F28" s="22" t="inlineStr">
        <is>
          <t>AI工程师</t>
        </is>
      </c>
      <c r="G28" s="22" t="n">
        <v>4</v>
      </c>
      <c r="H28" s="22" t="inlineStr">
        <is>
          <t>2026-W27</t>
        </is>
      </c>
      <c r="I28" s="22" t="inlineStr">
        <is>
          <t>2026-W28</t>
        </is>
      </c>
      <c r="J28" s="22" t="inlineStr"/>
      <c r="K28" s="24" t="inlineStr">
        <is>
          <t>未开始</t>
        </is>
      </c>
      <c r="L28" s="25" t="inlineStr">
        <is>
          <t>【目标】测试两阶段XML分类器：Stage1（64 tokens，&lt;500ms P99）快速分类输出&lt;allow/&gt;或&lt;block/&gt;；Stage2（4096 tokens，&lt;3s P99）仅block时触发完整推理。两阶段共享系统提示词，受益于prompt caching。验证alwaysOnThinking模型增加2048 token headroom。
【运行命令】npm test -- --grep 'TwoStageClassifier'
【测试文件路径】src/harness/permission/__tests__/twoStageClassifier.test.ts
【测试用例清单】1. Stage1安全操作→&lt;allow/&gt; 2. Stage1危险操作→&lt;block/&gt; 3. Stage1 block后触发Stage2 4. Stage2 P99&lt;3s 5. Stage1 P99&lt;500ms 6. 两阶段共享系统提示词</t>
        </is>
      </c>
      <c r="M28" s="22" t="inlineStr">
        <is>
          <t>两阶段分类器正确工作，性能达标</t>
        </is>
      </c>
      <c r="N28" s="22" t="inlineStr">
        <is>
          <t>借鉴Claude Code：adaptive thinking消耗过多token导致空响应</t>
        </is>
      </c>
    </row>
    <row r="29">
      <c r="A29" s="26" t="inlineStr">
        <is>
          <t>V25-PMH-006</t>
        </is>
      </c>
      <c r="B29" s="26" t="inlineStr">
        <is>
          <t>两阶段XML分类器 - 实现</t>
        </is>
      </c>
      <c r="C29" s="26" t="inlineStr">
        <is>
          <t>Green实现</t>
        </is>
      </c>
      <c r="D29" s="26" t="inlineStr">
        <is>
          <t>Permission Harness</t>
        </is>
      </c>
      <c r="E29" s="23" t="inlineStr">
        <is>
          <t>P0</t>
        </is>
      </c>
      <c r="F29" s="26" t="inlineStr">
        <is>
          <t>AI工程师</t>
        </is>
      </c>
      <c r="G29" s="26" t="n">
        <v>6</v>
      </c>
      <c r="H29" s="26" t="inlineStr">
        <is>
          <t>2026-W28</t>
        </is>
      </c>
      <c r="I29" s="26" t="inlineStr">
        <is>
          <t>2026-W29</t>
        </is>
      </c>
      <c r="J29" s="26" t="inlineStr">
        <is>
          <t>V25-PMH-005</t>
        </is>
      </c>
      <c r="K29" s="24" t="inlineStr">
        <is>
          <t>未开始</t>
        </is>
      </c>
      <c r="L29" s="27" t="inlineStr">
        <is>
          <t>【目标】实现两阶段XML分类器：Stage1使用小模型快速判断（64 tokens输出），Stage2使用大模型完整推理（4096 tokens输出）。两阶段共享系统提示词以利用prompt caching。对alwaysOnThinking模型增加2048 token headroom防止max_tokens截断。
【运行命令】npm test -- --grep 'TwoStageClassifier'
【实现步骤】1. 创建src/harness/permission/twoStageClassifier.ts 2. 实现Stage1Classifier（快速分类） 3. 实现Stage2Classifier（完整推理） 4. 实现分类器协调器 5. 添加headroom逻辑 6. 集成到Permission Harness
【源文件路径】src/harness/permission/twoStageClassifier.ts
【测试文件路径】src/harness/permission/__tests__/twoStageClassifier.test.ts</t>
        </is>
      </c>
      <c r="M29" s="26" t="inlineStr">
        <is>
          <t>两阶段分类器正确实现，性能达标</t>
        </is>
      </c>
      <c r="N29" s="26" t="inlineStr"/>
    </row>
    <row r="30">
      <c r="A30" s="22" t="inlineStr">
        <is>
          <t>V25-PMH-007</t>
        </is>
      </c>
      <c r="B30" s="22" t="inlineStr">
        <is>
          <t>两阶段XML分类器 - 重构</t>
        </is>
      </c>
      <c r="C30" s="22" t="inlineStr">
        <is>
          <t>Refactor重构</t>
        </is>
      </c>
      <c r="D30" s="22" t="inlineStr">
        <is>
          <t>Permission Harness</t>
        </is>
      </c>
      <c r="E30" s="23" t="inlineStr">
        <is>
          <t>P0</t>
        </is>
      </c>
      <c r="F30" s="22" t="inlineStr">
        <is>
          <t>AI工程师</t>
        </is>
      </c>
      <c r="G30" s="22" t="n">
        <v>3</v>
      </c>
      <c r="H30" s="22" t="inlineStr">
        <is>
          <t>2026-W29</t>
        </is>
      </c>
      <c r="I30" s="22" t="inlineStr">
        <is>
          <t>2026-W30</t>
        </is>
      </c>
      <c r="J30" s="22" t="inlineStr">
        <is>
          <t>V25-PMH-006</t>
        </is>
      </c>
      <c r="K30" s="24" t="inlineStr">
        <is>
          <t>未开始</t>
        </is>
      </c>
      <c r="L30" s="25" t="inlineStr">
        <is>
          <t>【目标】重构两阶段分类器，优化prompt模板，添加分类结果缓存。
【运行命令】npm test -- --grep 'TwoStageClassifier' &amp;&amp; npm run lint
【源文件路径】src/harness/permission/twoStageClassifier.ts</t>
        </is>
      </c>
      <c r="M30" s="22" t="inlineStr">
        <is>
          <t>重构完成，分类准确率和性能达标</t>
        </is>
      </c>
      <c r="N30" s="22" t="inlineStr"/>
    </row>
    <row r="31">
      <c r="A31" s="26" t="inlineStr">
        <is>
          <t>V25-PMH-008</t>
        </is>
      </c>
      <c r="B31" s="26" t="inlineStr">
        <is>
          <t>两阶段XML分类器 - 验收</t>
        </is>
      </c>
      <c r="C31" s="26" t="inlineStr">
        <is>
          <t>Acceptance验收</t>
        </is>
      </c>
      <c r="D31" s="26" t="inlineStr">
        <is>
          <t>Permission Harness</t>
        </is>
      </c>
      <c r="E31" s="23" t="inlineStr">
        <is>
          <t>P0</t>
        </is>
      </c>
      <c r="F31" s="26" t="inlineStr">
        <is>
          <t>AI工程师</t>
        </is>
      </c>
      <c r="G31" s="26" t="n">
        <v>2</v>
      </c>
      <c r="H31" s="26" t="inlineStr">
        <is>
          <t>2026-W29</t>
        </is>
      </c>
      <c r="I31" s="26" t="inlineStr">
        <is>
          <t>2026-W30</t>
        </is>
      </c>
      <c r="J31" s="26" t="inlineStr">
        <is>
          <t>V25-PMH-007</t>
        </is>
      </c>
      <c r="K31" s="24" t="inlineStr">
        <is>
          <t>未开始</t>
        </is>
      </c>
      <c r="L31" s="27" t="inlineStr">
        <is>
          <t>【目标】验收两阶段XML分类器，确认分类准确率和性能。
【运行命令】npm test -- --grep 'TwoStageClassifier'
【验收检查项】1. Stage1 P99&lt;500ms 2. Stage2 P99&lt;3s 3. 分类准确率&gt;95% 4. 两阶段共享prompt cache 5. headroom机制正常工作</t>
        </is>
      </c>
      <c r="M31" s="26" t="inlineStr">
        <is>
          <t>两阶段分类器验收通过</t>
        </is>
      </c>
      <c r="N31" s="26" t="inlineStr"/>
    </row>
    <row r="32">
      <c r="A32" s="22" t="inlineStr">
        <is>
          <t>V25-PMH-009</t>
        </is>
      </c>
      <c r="B32" s="22" t="inlineStr">
        <is>
          <t>权限拒绝→tool_result反馈 - 测试</t>
        </is>
      </c>
      <c r="C32" s="22" t="inlineStr">
        <is>
          <t>Red测试</t>
        </is>
      </c>
      <c r="D32" s="22" t="inlineStr">
        <is>
          <t>Permission Harness</t>
        </is>
      </c>
      <c r="E32" s="23" t="inlineStr">
        <is>
          <t>P0</t>
        </is>
      </c>
      <c r="F32" s="22" t="inlineStr">
        <is>
          <t>AI工程师</t>
        </is>
      </c>
      <c r="G32" s="22" t="n">
        <v>3</v>
      </c>
      <c r="H32" s="22" t="inlineStr">
        <is>
          <t>2026-W28</t>
        </is>
      </c>
      <c r="I32" s="22" t="inlineStr">
        <is>
          <t>2026-W29</t>
        </is>
      </c>
      <c r="J32" s="22" t="inlineStr"/>
      <c r="K32" s="24" t="inlineStr">
        <is>
          <t>未开始</t>
        </is>
      </c>
      <c r="L32" s="25" t="inlineStr">
        <is>
          <t>【目标】测试权限拒绝→tool_result反馈完整链路：classifier.shouldBlock→reason→cancelAndAbort→tool_result content_block→模型收到反馈→自动调整写作策略。示例：AI尝试让角色使用尚未觉醒的能力→检测时间线冲突→反馈给AI→AI改用其他描写方式。
【运行命令】npm test -- --grep 'PermissionFeedback'
【测试文件路径】src/harness/permission/__tests__/permissionFeedback.test.ts
【测试用例清单】1. shouldBlock:true生成tool_result 2. tool_result包含拒绝原因 3. 模型收到反馈后调整策略 4. 反馈内容格式正确 5. 连续拒绝不会导致无限循环</t>
        </is>
      </c>
      <c r="M32" s="22" t="inlineStr">
        <is>
          <t>权限拒绝反馈链路正确工作</t>
        </is>
      </c>
      <c r="N32" s="22" t="inlineStr"/>
    </row>
    <row r="33">
      <c r="A33" s="26" t="inlineStr">
        <is>
          <t>V25-PMH-010</t>
        </is>
      </c>
      <c r="B33" s="26" t="inlineStr">
        <is>
          <t>权限拒绝→tool_result反馈 - 实现</t>
        </is>
      </c>
      <c r="C33" s="26" t="inlineStr">
        <is>
          <t>Green实现</t>
        </is>
      </c>
      <c r="D33" s="26" t="inlineStr">
        <is>
          <t>Permission Harness</t>
        </is>
      </c>
      <c r="E33" s="23" t="inlineStr">
        <is>
          <t>P0</t>
        </is>
      </c>
      <c r="F33" s="26" t="inlineStr">
        <is>
          <t>AI工程师</t>
        </is>
      </c>
      <c r="G33" s="26" t="n">
        <v>5</v>
      </c>
      <c r="H33" s="26" t="inlineStr">
        <is>
          <t>2026-W29</t>
        </is>
      </c>
      <c r="I33" s="26" t="inlineStr">
        <is>
          <t>2026-W30</t>
        </is>
      </c>
      <c r="J33" s="26" t="inlineStr">
        <is>
          <t>V25-PMH-009</t>
        </is>
      </c>
      <c r="K33" s="24" t="inlineStr">
        <is>
          <t>未开始</t>
        </is>
      </c>
      <c r="L33" s="27" t="inlineStr">
        <is>
          <t>【目标】实现权限拒绝→tool_result反馈机制：当classifier返回shouldBlock:true时，调用cancelAndAbort(feedback, undefined, contentBlocks)生成tool_result content_block，作为user message的一部分发回模型，让模型看到拒绝原因后自动调整行为。
【运行命令】npm test -- --grep 'PermissionFeedback'
【实现步骤】1. 创建src/harness/permission/permissionFeedback.ts 2. 实现buildToolResultFeedback()函数 3. 实现cancelAndAbort()函数 4. 集成到REPL query loop 5. 添加最大重试次数限制
【源文件路径】src/harness/permission/permissionFeedback.ts
【测试文件路径】src/harness/permission/__tests__/permissionFeedback.test.ts</t>
        </is>
      </c>
      <c r="M33" s="26" t="inlineStr">
        <is>
          <t>权限拒绝反馈机制正确实现</t>
        </is>
      </c>
      <c r="N33" s="26" t="inlineStr"/>
    </row>
    <row r="34">
      <c r="A34" s="22" t="inlineStr">
        <is>
          <t>V25-PMH-011</t>
        </is>
      </c>
      <c r="B34" s="22" t="inlineStr">
        <is>
          <t>权限拒绝→tool_result反馈 - 重构</t>
        </is>
      </c>
      <c r="C34" s="22" t="inlineStr">
        <is>
          <t>Refactor重构</t>
        </is>
      </c>
      <c r="D34" s="22" t="inlineStr">
        <is>
          <t>Permission Harness</t>
        </is>
      </c>
      <c r="E34" s="23" t="inlineStr">
        <is>
          <t>P0</t>
        </is>
      </c>
      <c r="F34" s="22" t="inlineStr">
        <is>
          <t>AI工程师</t>
        </is>
      </c>
      <c r="G34" s="22" t="n">
        <v>2</v>
      </c>
      <c r="H34" s="22" t="inlineStr">
        <is>
          <t>2026-W29</t>
        </is>
      </c>
      <c r="I34" s="22" t="inlineStr">
        <is>
          <t>2026-W30</t>
        </is>
      </c>
      <c r="J34" s="22" t="inlineStr">
        <is>
          <t>V25-PMH-010</t>
        </is>
      </c>
      <c r="K34" s="24" t="inlineStr">
        <is>
          <t>未开始</t>
        </is>
      </c>
      <c r="L34" s="25" t="inlineStr">
        <is>
          <t>【目标】重构权限反馈机制，优化反馈内容格式，添加反馈历史记录。
【运行命令】npm test -- --grep 'PermissionFeedback' &amp;&amp; npm run lint
【源文件路径】src/harness/permission/permissionFeedback.ts</t>
        </is>
      </c>
      <c r="M34" s="22" t="inlineStr">
        <is>
          <t>重构完成，反馈格式清晰</t>
        </is>
      </c>
      <c r="N34" s="22" t="inlineStr"/>
    </row>
    <row r="35">
      <c r="A35" s="26" t="inlineStr">
        <is>
          <t>V25-PMH-012</t>
        </is>
      </c>
      <c r="B35" s="26" t="inlineStr">
        <is>
          <t>权限拒绝→tool_result反馈 - 验收</t>
        </is>
      </c>
      <c r="C35" s="26" t="inlineStr">
        <is>
          <t>Acceptance验收</t>
        </is>
      </c>
      <c r="D35" s="26" t="inlineStr">
        <is>
          <t>Permission Harness</t>
        </is>
      </c>
      <c r="E35" s="23" t="inlineStr">
        <is>
          <t>P0</t>
        </is>
      </c>
      <c r="F35" s="26" t="inlineStr">
        <is>
          <t>AI工程师</t>
        </is>
      </c>
      <c r="G35" s="26" t="n">
        <v>2</v>
      </c>
      <c r="H35" s="26" t="inlineStr">
        <is>
          <t>2026-W30</t>
        </is>
      </c>
      <c r="I35" s="26" t="inlineStr">
        <is>
          <t>2026-W31</t>
        </is>
      </c>
      <c r="J35" s="26" t="inlineStr">
        <is>
          <t>V25-PMH-011</t>
        </is>
      </c>
      <c r="K35" s="24" t="inlineStr">
        <is>
          <t>未开始</t>
        </is>
      </c>
      <c r="L35" s="27" t="inlineStr">
        <is>
          <t>【目标】验收权限拒绝反馈机制，确认AI能根据反馈自动调整。
【运行命令】npm test -- --grep 'PermissionFeedback'
【验收检查项】1. 拒绝反馈正确生成 2. 模型能理解反馈内容 3. AI自动调整策略 4. 无无限循环 5. 反馈记录可审计</t>
        </is>
      </c>
      <c r="M35" s="26" t="inlineStr">
        <is>
          <t>权限反馈机制验收通过</t>
        </is>
      </c>
      <c r="N35" s="26" t="inlineStr"/>
    </row>
    <row r="36">
      <c r="A36" s="22" t="inlineStr">
        <is>
          <t>V25-PMH-013</t>
        </is>
      </c>
      <c r="B36" s="22" t="inlineStr">
        <is>
          <t>多竞态者模式 - 测试</t>
        </is>
      </c>
      <c r="C36" s="22" t="inlineStr">
        <is>
          <t>Red测试</t>
        </is>
      </c>
      <c r="D36" s="22" t="inlineStr">
        <is>
          <t>Permission Harness</t>
        </is>
      </c>
      <c r="E36" s="23" t="inlineStr">
        <is>
          <t>P0</t>
        </is>
      </c>
      <c r="F36" s="22" t="inlineStr">
        <is>
          <t>AI工程师</t>
        </is>
      </c>
      <c r="G36" s="22" t="n">
        <v>3</v>
      </c>
      <c r="H36" s="22" t="inlineStr">
        <is>
          <t>2026-W29</t>
        </is>
      </c>
      <c r="I36" s="22" t="inlineStr">
        <is>
          <t>2026-W30</t>
        </is>
      </c>
      <c r="J36" s="22" t="inlineStr"/>
      <c r="K36" s="24" t="inlineStr">
        <is>
          <t>未开始</t>
        </is>
      </c>
      <c r="L36" s="25" t="inlineStr">
        <is>
          <t>【目标】测试多竞态者模式：最多5个竞态者解决同一权限请求（用户交互、Web响应、Channel中继、权限hooks、一致性分类器）。第一个claim()成功的胜出，所有竞态者超时则deny。验证竞态安全和超时处理。
【运行命令】npm test -- --grep 'MultiRacer'
【测试文件路径】src/harness/permission/__tests__/multiRacer.test.ts
【测试用例清单】1. 第一个claim()成功胜出 2. 其他竞态者收到rejected通知 3. 所有竞态者超时→deny 4. 并发claim()无竞态条件 5. 竞态者可动态注册/注销</t>
        </is>
      </c>
      <c r="M36" s="22" t="inlineStr">
        <is>
          <t>多竞态者模式正确工作，无竞态条件</t>
        </is>
      </c>
      <c r="N36" s="22" t="inlineStr"/>
    </row>
    <row r="37">
      <c r="A37" s="26" t="inlineStr">
        <is>
          <t>V25-PMH-014</t>
        </is>
      </c>
      <c r="B37" s="26" t="inlineStr">
        <is>
          <t>多竞态者模式 - 实现</t>
        </is>
      </c>
      <c r="C37" s="26" t="inlineStr">
        <is>
          <t>Green实现</t>
        </is>
      </c>
      <c r="D37" s="26" t="inlineStr">
        <is>
          <t>Permission Harness</t>
        </is>
      </c>
      <c r="E37" s="23" t="inlineStr">
        <is>
          <t>P0</t>
        </is>
      </c>
      <c r="F37" s="26" t="inlineStr">
        <is>
          <t>AI工程师</t>
        </is>
      </c>
      <c r="G37" s="26" t="n">
        <v>5</v>
      </c>
      <c r="H37" s="26" t="inlineStr">
        <is>
          <t>2026-W30</t>
        </is>
      </c>
      <c r="I37" s="26" t="inlineStr">
        <is>
          <t>2026-W31</t>
        </is>
      </c>
      <c r="J37" s="26" t="inlineStr">
        <is>
          <t>V25-PMH-013</t>
        </is>
      </c>
      <c r="K37" s="24" t="inlineStr">
        <is>
          <t>未开始</t>
        </is>
      </c>
      <c r="L37" s="27" t="inlineStr">
        <is>
          <t>【目标】实现多竞态者模式：创建PermissionRacer类，支持注册最多5个竞态者（UserInteractionRacer、WebResponseRacer、ChannelRelayRacer、HookRacer、ClassifierRacer）。使用Promise.race()实现第一个claim()胜出，超时后默认deny。
【运行命令】npm test -- --grep 'MultiRacer'
【实现步骤】1. 创建src/harness/permission/multiRacer.ts 2. 实现PermissionRacer类 3. 实现5个内置竞态者 4. 实现claim()/reject()/timeout逻辑 5. 集成到Permission Harness
【源文件路径】src/harness/permission/multiRacer.ts
【测试文件路径】src/harness/permission/__tests__/multiRacer.test.ts</t>
        </is>
      </c>
      <c r="M37" s="26" t="inlineStr">
        <is>
          <t>多竞态者模式正确实现</t>
        </is>
      </c>
      <c r="N37" s="26" t="inlineStr"/>
    </row>
    <row r="38">
      <c r="A38" s="22" t="inlineStr">
        <is>
          <t>V25-PMH-015</t>
        </is>
      </c>
      <c r="B38" s="22" t="inlineStr">
        <is>
          <t>多竞态者模式 - 验收</t>
        </is>
      </c>
      <c r="C38" s="22" t="inlineStr">
        <is>
          <t>Acceptance验收</t>
        </is>
      </c>
      <c r="D38" s="22" t="inlineStr">
        <is>
          <t>Permission Harness</t>
        </is>
      </c>
      <c r="E38" s="23" t="inlineStr">
        <is>
          <t>P0</t>
        </is>
      </c>
      <c r="F38" s="22" t="inlineStr">
        <is>
          <t>AI工程师</t>
        </is>
      </c>
      <c r="G38" s="22" t="n">
        <v>2</v>
      </c>
      <c r="H38" s="22" t="inlineStr">
        <is>
          <t>2026-W30</t>
        </is>
      </c>
      <c r="I38" s="22" t="inlineStr">
        <is>
          <t>2026-W31</t>
        </is>
      </c>
      <c r="J38" s="22" t="inlineStr">
        <is>
          <t>V25-PMH-014</t>
        </is>
      </c>
      <c r="K38" s="24" t="inlineStr">
        <is>
          <t>未开始</t>
        </is>
      </c>
      <c r="L38" s="25" t="inlineStr">
        <is>
          <t>【目标】验收多竞态者模式，确认竞态安全和超时处理。
【运行命令】npm test -- --grep 'MultiRacer'
【验收检查项】1. 竞态安全无数据竞争 2. 超时正确处理 3. 5个竞态者可同时工作 4. 胜出者正确记录到审计日志</t>
        </is>
      </c>
      <c r="M38" s="22" t="inlineStr">
        <is>
          <t>多竞态者模式验收通过</t>
        </is>
      </c>
      <c r="N38" s="22" t="inlineStr"/>
    </row>
    <row r="39">
      <c r="A39" s="26" t="inlineStr">
        <is>
          <t>V25-PMH-016</t>
        </is>
      </c>
      <c r="B39" s="26" t="inlineStr">
        <is>
          <t>危险权限剥离与恢复 - 测试</t>
        </is>
      </c>
      <c r="C39" s="26" t="inlineStr">
        <is>
          <t>Red测试</t>
        </is>
      </c>
      <c r="D39" s="26" t="inlineStr">
        <is>
          <t>Permission Harness</t>
        </is>
      </c>
      <c r="E39" s="23" t="inlineStr">
        <is>
          <t>P0</t>
        </is>
      </c>
      <c r="F39" s="26" t="inlineStr">
        <is>
          <t>AI工程师</t>
        </is>
      </c>
      <c r="G39" s="26" t="n">
        <v>2</v>
      </c>
      <c r="H39" s="26" t="inlineStr">
        <is>
          <t>2026-W30</t>
        </is>
      </c>
      <c r="I39" s="26" t="inlineStr">
        <is>
          <t>2026-W31</t>
        </is>
      </c>
      <c r="J39" s="26" t="inlineStr"/>
      <c r="K39" s="24" t="inlineStr">
        <is>
          <t>未开始</t>
        </is>
      </c>
      <c r="L39" s="27" t="inlineStr">
        <is>
          <t>【目标】测试进入自动模式时剥离危险权限（batchDeleteChapters、overwriteCoreSettings、modifyPublishedContent等），退出自动模式时恢复原始权限。验证剥离和恢复的完整性。
【运行命令】npm test -- --grep 'DangerousPermission'
【测试文件路径】src/harness/permission/__tests__/dangerousPermission.test.ts
【测试用例清单】1. 进入自动模式→危险权限被剥离 2. 自动模式下尝试危险操作→被阻止 3. 退出自动模式→原始权限恢复 4. 剥离/恢复不影响非危险权限 5. 剥离状态可查询</t>
        </is>
      </c>
      <c r="M39" s="26" t="inlineStr">
        <is>
          <t>危险权限剥离与恢复正确工作</t>
        </is>
      </c>
      <c r="N39" s="26" t="inlineStr"/>
    </row>
    <row r="40">
      <c r="A40" s="22" t="inlineStr">
        <is>
          <t>V25-PMH-017</t>
        </is>
      </c>
      <c r="B40" s="22" t="inlineStr">
        <is>
          <t>危险权限剥离与恢复 - 实现</t>
        </is>
      </c>
      <c r="C40" s="22" t="inlineStr">
        <is>
          <t>Green实现</t>
        </is>
      </c>
      <c r="D40" s="22" t="inlineStr">
        <is>
          <t>Permission Harness</t>
        </is>
      </c>
      <c r="E40" s="23" t="inlineStr">
        <is>
          <t>P0</t>
        </is>
      </c>
      <c r="F40" s="22" t="inlineStr">
        <is>
          <t>AI工程师</t>
        </is>
      </c>
      <c r="G40" s="22" t="n">
        <v>3</v>
      </c>
      <c r="H40" s="22" t="inlineStr">
        <is>
          <t>2026-W30</t>
        </is>
      </c>
      <c r="I40" s="22" t="inlineStr">
        <is>
          <t>2026-W31</t>
        </is>
      </c>
      <c r="J40" s="22" t="inlineStr">
        <is>
          <t>V25-PMH-016</t>
        </is>
      </c>
      <c r="K40" s="24" t="inlineStr">
        <is>
          <t>未开始</t>
        </is>
      </c>
      <c r="L40" s="25" t="inlineStr">
        <is>
          <t>【目标】实现危险权限剥离与恢复机制：定义DANGEROUS_PERMISSIONS集合（batchDeleteChapters、overwriteCoreSettings、modifyPublishedContent等），进入自动模式时从权限列表中临时移除，退出时恢复。使用栈结构支持嵌套模式切换。
【运行命令】npm test -- --grep 'DangerousPermission'
【实现步骤】1. 创建src/harness/permission/dangerousPermission.ts 2. 定义DANGEROUS_PERMISSIONS集合 3. 实现stripPermissions()/restorePermissions() 4. 集成到模式切换逻辑
【源文件路径】src/harness/permission/dangerousPermission.ts
【测试文件路径】src/harness/permission/__tests__/dangerousPermission.test.ts</t>
        </is>
      </c>
      <c r="M40" s="22" t="inlineStr">
        <is>
          <t>危险权限剥离与恢复正确实现</t>
        </is>
      </c>
      <c r="N40" s="22" t="inlineStr"/>
    </row>
    <row r="41">
      <c r="A41" s="26" t="inlineStr">
        <is>
          <t>V25-PMH-018</t>
        </is>
      </c>
      <c r="B41" s="26" t="inlineStr">
        <is>
          <t>危险权限剥离与恢复 - 验收</t>
        </is>
      </c>
      <c r="C41" s="26" t="inlineStr">
        <is>
          <t>Acceptance验收</t>
        </is>
      </c>
      <c r="D41" s="26" t="inlineStr">
        <is>
          <t>Permission Harness</t>
        </is>
      </c>
      <c r="E41" s="23" t="inlineStr">
        <is>
          <t>P0</t>
        </is>
      </c>
      <c r="F41" s="26" t="inlineStr">
        <is>
          <t>AI工程师</t>
        </is>
      </c>
      <c r="G41" s="26" t="n">
        <v>2</v>
      </c>
      <c r="H41" s="26" t="inlineStr">
        <is>
          <t>2026-W30</t>
        </is>
      </c>
      <c r="I41" s="26" t="inlineStr">
        <is>
          <t>2026-W31</t>
        </is>
      </c>
      <c r="J41" s="26" t="inlineStr">
        <is>
          <t>V25-PMH-017</t>
        </is>
      </c>
      <c r="K41" s="24" t="inlineStr">
        <is>
          <t>未开始</t>
        </is>
      </c>
      <c r="L41" s="27" t="inlineStr">
        <is>
          <t>【目标】验收危险权限剥离与恢复功能。
【运行命令】npm test -- --grep 'DangerousPermission'
【验收检查项】1. 自动模式下危险操作被阻止 2. 退出后权限完整恢复 3. 嵌套模式切换正确处理 4. 不影响非危险权限</t>
        </is>
      </c>
      <c r="M41" s="26" t="inlineStr">
        <is>
          <t>危险权限剥离验收通过</t>
        </is>
      </c>
      <c r="N41" s="26" t="inlineStr"/>
    </row>
    <row r="42">
      <c r="A42" s="22" t="inlineStr">
        <is>
          <t>V25-PMH-019</t>
        </is>
      </c>
      <c r="B42" s="22" t="inlineStr">
        <is>
          <t>Transcript JSONL格式安全 - 测试</t>
        </is>
      </c>
      <c r="C42" s="22" t="inlineStr">
        <is>
          <t>Red测试</t>
        </is>
      </c>
      <c r="D42" s="22" t="inlineStr">
        <is>
          <t>Permission Harness</t>
        </is>
      </c>
      <c r="E42" s="23" t="inlineStr">
        <is>
          <t>P0</t>
        </is>
      </c>
      <c r="F42" s="22" t="inlineStr">
        <is>
          <t>安全工程师</t>
        </is>
      </c>
      <c r="G42" s="22" t="n">
        <v>2</v>
      </c>
      <c r="H42" s="22" t="inlineStr">
        <is>
          <t>2026-W30</t>
        </is>
      </c>
      <c r="I42" s="22" t="inlineStr">
        <is>
          <t>2026-W31</t>
        </is>
      </c>
      <c r="J42" s="22" t="inlineStr"/>
      <c r="K42" s="24" t="inlineStr">
        <is>
          <t>未开始</t>
        </is>
      </c>
      <c r="L42" s="25" t="inlineStr">
        <is>
          <t>【目标】测试Transcript使用JSONL格式（每行一个JSON对象），JSON转义确保换行符被转义为\n，防止prompt注入。操作历史格式：{"Write":{...}}、{"Edit":{...}}、{"ConsistencyCheck":{...}}。验证恶意构造的输入无法逃逸JSON字符串上下文。
【运行命令】npm test -- --grep 'TranscriptSecurity'
【测试文件路径】src/harness/permission/__tests__/transcriptSecurity.test.ts
【测试用例清单】1. 正常操作正确序列化为JSONL 2. 包含换行符的内容被正确转义 3. 恶意注入尝试被JSON转义阻止 4. 反序列化不会执行注入代码 5. 大量操作日志性能可接受</t>
        </is>
      </c>
      <c r="M42" s="22" t="inlineStr">
        <is>
          <t>JSONL格式安全，无prompt注入风险</t>
        </is>
      </c>
      <c r="N42" s="22" t="inlineStr">
        <is>
          <t>借鉴Claude Code：防止伪造User:行操纵分类器</t>
        </is>
      </c>
    </row>
    <row r="43">
      <c r="A43" s="26" t="inlineStr">
        <is>
          <t>V25-PMH-020</t>
        </is>
      </c>
      <c r="B43" s="26" t="inlineStr">
        <is>
          <t>Transcript JSONL格式安全 - 实现</t>
        </is>
      </c>
      <c r="C43" s="26" t="inlineStr">
        <is>
          <t>Green实现</t>
        </is>
      </c>
      <c r="D43" s="26" t="inlineStr">
        <is>
          <t>Permission Harness</t>
        </is>
      </c>
      <c r="E43" s="23" t="inlineStr">
        <is>
          <t>P0</t>
        </is>
      </c>
      <c r="F43" s="26" t="inlineStr">
        <is>
          <t>安全工程师</t>
        </is>
      </c>
      <c r="G43" s="26" t="n">
        <v>3</v>
      </c>
      <c r="H43" s="26" t="inlineStr">
        <is>
          <t>2026-W30</t>
        </is>
      </c>
      <c r="I43" s="26" t="inlineStr">
        <is>
          <t>2026-W31</t>
        </is>
      </c>
      <c r="J43" s="26" t="inlineStr">
        <is>
          <t>V25-PMH-019</t>
        </is>
      </c>
      <c r="K43" s="24" t="inlineStr">
        <is>
          <t>未开始</t>
        </is>
      </c>
      <c r="L43" s="27" t="inlineStr">
        <is>
          <t>【目标】实现Transcript JSONL格式安全：创建TranscriptLogger类，所有操作记录使用JSON.stringify序列化为JSONL格式。添加输入验证和输出转义，确保恶意内容无法逃逸JSON上下文。
【运行命令】npm test -- --grep 'TranscriptSecurity'
【实现步骤】1. 创建src/harness/permission/transcriptSecurity.ts 2. 实现TranscriptLogger类 3. 实现JSONL序列化/反序列化 4. 添加输入验证 5. 集成到Permission Harness
【源文件路径】src/harness/permission/transcriptSecurity.ts
【测试文件路径】src/harness/permission/__tests__/transcriptSecurity.test.ts</t>
        </is>
      </c>
      <c r="M43" s="26" t="inlineStr">
        <is>
          <t>JSONL Transcript安全实现完成</t>
        </is>
      </c>
      <c r="N43" s="26" t="inlineStr"/>
    </row>
    <row r="44">
      <c r="A44" s="22" t="inlineStr">
        <is>
          <t>V25-PMH-021</t>
        </is>
      </c>
      <c r="B44" s="22" t="inlineStr">
        <is>
          <t>Transcript JSONL格式安全 - 验收</t>
        </is>
      </c>
      <c r="C44" s="22" t="inlineStr">
        <is>
          <t>Acceptance验收</t>
        </is>
      </c>
      <c r="D44" s="22" t="inlineStr">
        <is>
          <t>Permission Harness</t>
        </is>
      </c>
      <c r="E44" s="23" t="inlineStr">
        <is>
          <t>P0</t>
        </is>
      </c>
      <c r="F44" s="22" t="inlineStr">
        <is>
          <t>安全工程师</t>
        </is>
      </c>
      <c r="G44" s="22" t="n">
        <v>2</v>
      </c>
      <c r="H44" s="22" t="inlineStr">
        <is>
          <t>2026-W31</t>
        </is>
      </c>
      <c r="I44" s="22" t="inlineStr">
        <is>
          <t>2026-W32</t>
        </is>
      </c>
      <c r="J44" s="22" t="inlineStr">
        <is>
          <t>V25-PMH-020</t>
        </is>
      </c>
      <c r="K44" s="24" t="inlineStr">
        <is>
          <t>未开始</t>
        </is>
      </c>
      <c r="L44" s="25" t="inlineStr">
        <is>
          <t>【目标】验收JSONL Transcript安全，进行安全渗透测试。
【运行命令】npm test -- --grep 'TranscriptSecurity'
【验收检查项】1. 所有注入尝试被阻止 2. JSONL格式正确 3. 性能满足要求 4. 安全审计通过</t>
        </is>
      </c>
      <c r="M44" s="22" t="inlineStr">
        <is>
          <t>Transcript安全验收通过</t>
        </is>
      </c>
      <c r="N44" s="22" t="inlineStr"/>
    </row>
    <row r="45">
      <c r="A45" s="26" t="inlineStr">
        <is>
          <t>V25-PMH-022</t>
        </is>
      </c>
      <c r="B45" s="26" t="inlineStr">
        <is>
          <t>复合操作死规则清理 - 测试</t>
        </is>
      </c>
      <c r="C45" s="26" t="inlineStr">
        <is>
          <t>Red测试</t>
        </is>
      </c>
      <c r="D45" s="26" t="inlineStr">
        <is>
          <t>Permission Harness</t>
        </is>
      </c>
      <c r="E45" s="23" t="inlineStr">
        <is>
          <t>P0</t>
        </is>
      </c>
      <c r="F45" s="26" t="inlineStr">
        <is>
          <t>AI工程师</t>
        </is>
      </c>
      <c r="G45" s="26" t="n">
        <v>2</v>
      </c>
      <c r="H45" s="26" t="inlineStr">
        <is>
          <t>2026-W31</t>
        </is>
      </c>
      <c r="I45" s="26" t="inlineStr">
        <is>
          <t>2026-W32</t>
        </is>
      </c>
      <c r="J45" s="26" t="inlineStr"/>
      <c r="K45" s="24" t="inlineStr">
        <is>
          <t>未开始</t>
        </is>
      </c>
      <c r="L45" s="27" t="inlineStr">
        <is>
          <t>【目标】测试自动检测并清理永远不会再次匹配的过时权限规则：从未匹配且超过30天的规则自动清理，超过90天未匹配的规则自动清理。借鉴Claude Code GH#11380：用户累积150+死规则问题。
【运行命令】npm test -- --grep 'DeadRuleCleaner'
【测试文件路径】src/harness/permission/__tests__/deadRuleCleaner.test.ts
【测试用例清单】1. 从未匹配+30天→标记清理 2. 90天未匹配→标记清理 3. 最近匹配过的规则保留 4. 清理操作可撤销 5. 清理统计正确报告</t>
        </is>
      </c>
      <c r="M45" s="26" t="inlineStr">
        <is>
          <t>死规则清理逻辑正确</t>
        </is>
      </c>
      <c r="N45" s="26" t="inlineStr">
        <is>
          <t>借鉴GH#11380：150+死规则累积</t>
        </is>
      </c>
    </row>
    <row r="46">
      <c r="A46" s="22" t="inlineStr">
        <is>
          <t>V25-PMH-023</t>
        </is>
      </c>
      <c r="B46" s="22" t="inlineStr">
        <is>
          <t>复合操作死规则清理 - 实现</t>
        </is>
      </c>
      <c r="C46" s="22" t="inlineStr">
        <is>
          <t>Green实现</t>
        </is>
      </c>
      <c r="D46" s="22" t="inlineStr">
        <is>
          <t>Permission Harness</t>
        </is>
      </c>
      <c r="E46" s="23" t="inlineStr">
        <is>
          <t>P0</t>
        </is>
      </c>
      <c r="F46" s="22" t="inlineStr">
        <is>
          <t>AI工程师</t>
        </is>
      </c>
      <c r="G46" s="22" t="n">
        <v>3</v>
      </c>
      <c r="H46" s="22" t="inlineStr">
        <is>
          <t>2026-W31</t>
        </is>
      </c>
      <c r="I46" s="22" t="inlineStr">
        <is>
          <t>2026-W32</t>
        </is>
      </c>
      <c r="J46" s="22" t="inlineStr">
        <is>
          <t>V25-PMH-022</t>
        </is>
      </c>
      <c r="K46" s="24" t="inlineStr">
        <is>
          <t>未开始</t>
        </is>
      </c>
      <c r="L46" s="25" t="inlineStr">
        <is>
          <t>【目标】实现死规则清理器：创建DeadRuleCleaner类，扫描权限规则表，识别从未匹配且超过30天或超过90天未匹配的规则，标记为待清理。提供手动确认和自动清理两种模式。
【运行命令】npm test -- --grep 'DeadRuleCleaner'
【实现步骤】1. 创建src/harness/permission/deadRuleCleaner.ts 2. 实现规则扫描和匹配统计 3. 实现清理策略 4. 添加定时清理任务 5. 集成到Permission Harness
【源文件路径】src/harness/permission/deadRuleCleaner.ts
【测试文件路径】src/harness/permission/__tests__/deadRuleCleaner.test.ts</t>
        </is>
      </c>
      <c r="M46" s="22" t="inlineStr">
        <is>
          <t>死规则清理器正确实现</t>
        </is>
      </c>
      <c r="N46" s="22" t="inlineStr"/>
    </row>
    <row r="47">
      <c r="A47" s="26" t="inlineStr">
        <is>
          <t>V25-PMH-024</t>
        </is>
      </c>
      <c r="B47" s="26" t="inlineStr">
        <is>
          <t>复合操作死规则清理 - 验收</t>
        </is>
      </c>
      <c r="C47" s="26" t="inlineStr">
        <is>
          <t>Acceptance验收</t>
        </is>
      </c>
      <c r="D47" s="26" t="inlineStr">
        <is>
          <t>Permission Harness</t>
        </is>
      </c>
      <c r="E47" s="23" t="inlineStr">
        <is>
          <t>P0</t>
        </is>
      </c>
      <c r="F47" s="26" t="inlineStr">
        <is>
          <t>AI工程师</t>
        </is>
      </c>
      <c r="G47" s="26" t="n">
        <v>2</v>
      </c>
      <c r="H47" s="26" t="inlineStr">
        <is>
          <t>2026-W31</t>
        </is>
      </c>
      <c r="I47" s="26" t="inlineStr">
        <is>
          <t>2026-W32</t>
        </is>
      </c>
      <c r="J47" s="26" t="inlineStr">
        <is>
          <t>V25-PMH-023</t>
        </is>
      </c>
      <c r="K47" s="24" t="inlineStr">
        <is>
          <t>未开始</t>
        </is>
      </c>
      <c r="L47" s="27" t="inlineStr">
        <is>
          <t>【目标】验收死规则清理功能。
【运行命令】npm test -- --grep 'DeadRuleCleaner'
【验收检查项】1. 30天/90天规则正确识别 2. 清理操作安全可撤销 3. 清理统计准确 4. 不影响活跃规则</t>
        </is>
      </c>
      <c r="M47" s="26" t="inlineStr">
        <is>
          <t>死规则清理验收通过</t>
        </is>
      </c>
      <c r="N47" s="26" t="inlineStr"/>
    </row>
    <row r="48">
      <c r="A48" s="22" t="inlineStr">
        <is>
          <t>V25-CPH-001</t>
        </is>
      </c>
      <c r="B48" s="22" t="inlineStr">
        <is>
          <t>四级压缩决策引擎 - 测试</t>
        </is>
      </c>
      <c r="C48" s="22" t="inlineStr">
        <is>
          <t>Red测试</t>
        </is>
      </c>
      <c r="D48" s="22" t="inlineStr">
        <is>
          <t>Compaction Harness</t>
        </is>
      </c>
      <c r="E48" s="28" t="inlineStr">
        <is>
          <t>P1</t>
        </is>
      </c>
      <c r="F48" s="22" t="inlineStr">
        <is>
          <t>AI工程师</t>
        </is>
      </c>
      <c r="G48" s="22" t="n">
        <v>4</v>
      </c>
      <c r="H48" s="22" t="inlineStr">
        <is>
          <t>2026-W30</t>
        </is>
      </c>
      <c r="I48" s="22" t="inlineStr">
        <is>
          <t>2026-W31</t>
        </is>
      </c>
      <c r="J48" s="22" t="inlineStr"/>
      <c r="K48" s="24" t="inlineStr">
        <is>
          <t>未开始</t>
        </is>
      </c>
      <c r="L48" s="25" t="inlineStr">
        <is>
          <t>【目标】测试四级压缩决策引擎：L1 Cached Microcompact（工具结果数量超阈值，零成本cache_edits）、L2 Time-based（距上次AI交互&gt;60min清空旧工具结果）、L3 Session Memory Compact（用会话记忆替换旧消息，无API调用）、L4 Full Compact（API调用生成摘要，高成本）。验证选择逻辑优先级。
【运行命令】npm test -- --grep 'CompactionEngine'
【测试文件路径】src/harness/compaction/__tests__/compactionEngine.test.ts
【测试用例清单】1. 工具结果超阈值→L1 2. &gt;60min无交互→L2 3. autoCompact阈值+记忆非空→L3 4. L3不可用→L4 5. L2触发时重置L1状态 6. L4失败触发熔断器</t>
        </is>
      </c>
      <c r="M48" s="22" t="inlineStr">
        <is>
          <t>四级压缩选择逻辑正确</t>
        </is>
      </c>
      <c r="N48" s="22" t="inlineStr"/>
    </row>
    <row r="49">
      <c r="A49" s="26" t="inlineStr">
        <is>
          <t>V25-CPH-002</t>
        </is>
      </c>
      <c r="B49" s="26" t="inlineStr">
        <is>
          <t>四级压缩决策引擎 - 实现</t>
        </is>
      </c>
      <c r="C49" s="26" t="inlineStr">
        <is>
          <t>Green实现</t>
        </is>
      </c>
      <c r="D49" s="26" t="inlineStr">
        <is>
          <t>Compaction Harness</t>
        </is>
      </c>
      <c r="E49" s="28" t="inlineStr">
        <is>
          <t>P1</t>
        </is>
      </c>
      <c r="F49" s="26" t="inlineStr">
        <is>
          <t>AI工程师</t>
        </is>
      </c>
      <c r="G49" s="26" t="n">
        <v>8</v>
      </c>
      <c r="H49" s="26" t="inlineStr">
        <is>
          <t>2026-W30</t>
        </is>
      </c>
      <c r="I49" s="26" t="inlineStr">
        <is>
          <t>2026-W31</t>
        </is>
      </c>
      <c r="J49" s="26" t="inlineStr">
        <is>
          <t>V25-CPH-001</t>
        </is>
      </c>
      <c r="K49" s="24" t="inlineStr">
        <is>
          <t>未开始</t>
        </is>
      </c>
      <c r="L49" s="27" t="inlineStr">
        <is>
          <t>【目标】实现四级压缩决策引擎：创建CompactionEngine类，实现microcompactMessages()和autoCompactIfNeeded()方法。L1使用cache_edits零成本压缩，L2清空旧工具结果，L3使用会话记忆文件内容替换旧消息，L4调用LLM生成摘要。
【运行命令】npm test -- --grep 'CompactionEngine'
【实现步骤】1. 创建src/harness/compaction/compactionEngine.ts 2. 实现L1 CachedMicrocompact 3. 实现L2 TimeBasedMicrocompact 4. 实现L3 SessionMemoryCompact 5. 实现L4 FullCompact 6. 实现决策引擎协调器
【源文件路径】src/harness/compaction/compactionEngine.ts
【测试文件路径】src/harness/compaction/__tests__/compactionEngine.test.ts</t>
        </is>
      </c>
      <c r="M49" s="26" t="inlineStr">
        <is>
          <t>四级压缩引擎正确实现</t>
        </is>
      </c>
      <c r="N49" s="26" t="inlineStr"/>
    </row>
    <row r="50">
      <c r="A50" s="22" t="inlineStr">
        <is>
          <t>V25-CPH-003</t>
        </is>
      </c>
      <c r="B50" s="22" t="inlineStr">
        <is>
          <t>四级压缩决策引擎 - 重构</t>
        </is>
      </c>
      <c r="C50" s="22" t="inlineStr">
        <is>
          <t>Refactor重构</t>
        </is>
      </c>
      <c r="D50" s="22" t="inlineStr">
        <is>
          <t>Compaction Harness</t>
        </is>
      </c>
      <c r="E50" s="28" t="inlineStr">
        <is>
          <t>P1</t>
        </is>
      </c>
      <c r="F50" s="22" t="inlineStr">
        <is>
          <t>AI工程师</t>
        </is>
      </c>
      <c r="G50" s="22" t="n">
        <v>3</v>
      </c>
      <c r="H50" s="22" t="inlineStr">
        <is>
          <t>2026-W31</t>
        </is>
      </c>
      <c r="I50" s="22" t="inlineStr">
        <is>
          <t>2026-W32</t>
        </is>
      </c>
      <c r="J50" s="22" t="inlineStr">
        <is>
          <t>V25-CPH-002</t>
        </is>
      </c>
      <c r="K50" s="24" t="inlineStr">
        <is>
          <t>未开始</t>
        </is>
      </c>
      <c r="L50" s="25" t="inlineStr">
        <is>
          <t>【目标】重构压缩引擎，优化L1-L4选择逻辑，提取公共压缩接口。
【运行命令】npm test -- --grep 'CompactionEngine' &amp;&amp; npm run lint
【源文件路径】src/harness/compaction/compactionEngine.ts</t>
        </is>
      </c>
      <c r="M50" s="22" t="inlineStr">
        <is>
          <t>重构完成，测试和lint通过</t>
        </is>
      </c>
      <c r="N50" s="22" t="inlineStr"/>
    </row>
    <row r="51">
      <c r="A51" s="26" t="inlineStr">
        <is>
          <t>V25-CPH-004</t>
        </is>
      </c>
      <c r="B51" s="26" t="inlineStr">
        <is>
          <t>四级压缩决策引擎 - 验收</t>
        </is>
      </c>
      <c r="C51" s="26" t="inlineStr">
        <is>
          <t>Acceptance验收</t>
        </is>
      </c>
      <c r="D51" s="26" t="inlineStr">
        <is>
          <t>Compaction Harness</t>
        </is>
      </c>
      <c r="E51" s="28" t="inlineStr">
        <is>
          <t>P1</t>
        </is>
      </c>
      <c r="F51" s="26" t="inlineStr">
        <is>
          <t>AI工程师</t>
        </is>
      </c>
      <c r="G51" s="26" t="n">
        <v>2</v>
      </c>
      <c r="H51" s="26" t="inlineStr">
        <is>
          <t>2026-W31</t>
        </is>
      </c>
      <c r="I51" s="26" t="inlineStr">
        <is>
          <t>2026-W32</t>
        </is>
      </c>
      <c r="J51" s="26" t="inlineStr">
        <is>
          <t>V25-CPH-003</t>
        </is>
      </c>
      <c r="K51" s="24" t="inlineStr">
        <is>
          <t>未开始</t>
        </is>
      </c>
      <c r="L51" s="27" t="inlineStr">
        <is>
          <t>【目标】验收四级压缩引擎，确认压缩效果和成本控制。
【运行命令】npm test -- --grep 'CompactionEngine'
【验收检查项】1. L1零API成本 2. L2低API成本 3. L3无API调用 4. L4高成本但最后手段 5. 选择逻辑优先级正确</t>
        </is>
      </c>
      <c r="M51" s="26" t="inlineStr">
        <is>
          <t>四级压缩引擎验收通过</t>
        </is>
      </c>
      <c r="N51" s="26" t="inlineStr"/>
    </row>
    <row r="52">
      <c r="A52" s="22" t="inlineStr">
        <is>
          <t>V25-CPH-005</t>
        </is>
      </c>
      <c r="B52" s="22" t="inlineStr">
        <is>
          <t>analysis+summary双块结构 - 测试</t>
        </is>
      </c>
      <c r="C52" s="22" t="inlineStr">
        <is>
          <t>Red测试</t>
        </is>
      </c>
      <c r="D52" s="22" t="inlineStr">
        <is>
          <t>Compaction Harness</t>
        </is>
      </c>
      <c r="E52" s="28" t="inlineStr">
        <is>
          <t>P1</t>
        </is>
      </c>
      <c r="F52" s="22" t="inlineStr">
        <is>
          <t>AI工程师</t>
        </is>
      </c>
      <c r="G52" s="22" t="n">
        <v>3</v>
      </c>
      <c r="H52" s="22" t="inlineStr">
        <is>
          <t>2026-W31</t>
        </is>
      </c>
      <c r="I52" s="22" t="inlineStr">
        <is>
          <t>2026-W32</t>
        </is>
      </c>
      <c r="J52" s="22" t="inlineStr"/>
      <c r="K52" s="24" t="inlineStr">
        <is>
          <t>未开始</t>
        </is>
      </c>
      <c r="L52" s="25" t="inlineStr">
        <is>
          <t>【目标】测试&lt;analysis&gt;草稿本+&lt;summary&gt;最终输出双块结构。analysis块用于提高摘要质量，summary块是最终输出。formatCompactSummary()在注入上下文前剥离analysis块。织梦笔9段摘要结构：核心梗概、主角状态、核心关系、主线进展、活跃伏笔、世界观要点、近期事件、风格备注、待解决问题。
【运行命令】npm test -- --grep 'DualBlockSummary'
【测试文件路径】src/harness/compaction/__tests__/dualBlockSummary.test.ts
【测试用例清单】1. analysis块正确生成 2. summary块包含9段结构 3. formatCompactSummary剥离analysis 4. 注入上下文只包含summary 5. 9段结构内容完整</t>
        </is>
      </c>
      <c r="M52" s="22" t="inlineStr">
        <is>
          <t>双块结构正确工作</t>
        </is>
      </c>
      <c r="N52" s="22" t="inlineStr"/>
    </row>
    <row r="53">
      <c r="A53" s="26" t="inlineStr">
        <is>
          <t>V25-CPH-006</t>
        </is>
      </c>
      <c r="B53" s="26" t="inlineStr">
        <is>
          <t>analysis+summary双块结构 - 实现</t>
        </is>
      </c>
      <c r="C53" s="26" t="inlineStr">
        <is>
          <t>Green实现</t>
        </is>
      </c>
      <c r="D53" s="26" t="inlineStr">
        <is>
          <t>Compaction Harness</t>
        </is>
      </c>
      <c r="E53" s="28" t="inlineStr">
        <is>
          <t>P1</t>
        </is>
      </c>
      <c r="F53" s="26" t="inlineStr">
        <is>
          <t>AI工程师</t>
        </is>
      </c>
      <c r="G53" s="26" t="n">
        <v>5</v>
      </c>
      <c r="H53" s="26" t="inlineStr">
        <is>
          <t>2026-W32</t>
        </is>
      </c>
      <c r="I53" s="26" t="inlineStr">
        <is>
          <t>2026-W33</t>
        </is>
      </c>
      <c r="J53" s="26" t="inlineStr">
        <is>
          <t>V25-CPH-005</t>
        </is>
      </c>
      <c r="K53" s="24" t="inlineStr">
        <is>
          <t>未开始</t>
        </is>
      </c>
      <c r="L53" s="27" t="inlineStr">
        <is>
          <t>【目标】实现双块结构摘要：创建DualBlockSummarizer类，生成&lt;analysis&gt;草稿本和&lt;summary&gt;最终输出。实现formatCompactSummary()剥离analysis块。定义织梦笔9段摘要模板。
【运行命令】npm test -- --grep 'DualBlockSummary'
【实现步骤】1. 创建src/harness/compaction/dualBlockSummary.ts 2. 实现9段摘要模板 3. 实现analysis块生成 4. 实现summary块生成 5. 实现formatCompactSummary()
【源文件路径】src/harness/compaction/dualBlockSummary.ts
【测试文件路径】src/harness/compaction/__tests__/dualBlockSummary.test.ts</t>
        </is>
      </c>
      <c r="M53" s="26" t="inlineStr">
        <is>
          <t>双块摘要结构正确实现</t>
        </is>
      </c>
      <c r="N53" s="26" t="inlineStr"/>
    </row>
    <row r="54">
      <c r="A54" s="22" t="inlineStr">
        <is>
          <t>V25-CPH-007</t>
        </is>
      </c>
      <c r="B54" s="22" t="inlineStr">
        <is>
          <t>analysis+summary双块结构 - 验收</t>
        </is>
      </c>
      <c r="C54" s="22" t="inlineStr">
        <is>
          <t>Acceptance验收</t>
        </is>
      </c>
      <c r="D54" s="22" t="inlineStr">
        <is>
          <t>Compaction Harness</t>
        </is>
      </c>
      <c r="E54" s="28" t="inlineStr">
        <is>
          <t>P1</t>
        </is>
      </c>
      <c r="F54" s="22" t="inlineStr">
        <is>
          <t>AI工程师</t>
        </is>
      </c>
      <c r="G54" s="22" t="n">
        <v>2</v>
      </c>
      <c r="H54" s="22" t="inlineStr">
        <is>
          <t>2026-W32</t>
        </is>
      </c>
      <c r="I54" s="22" t="inlineStr">
        <is>
          <t>2026-W33</t>
        </is>
      </c>
      <c r="J54" s="22" t="inlineStr">
        <is>
          <t>V25-CPH-006</t>
        </is>
      </c>
      <c r="K54" s="24" t="inlineStr">
        <is>
          <t>未开始</t>
        </is>
      </c>
      <c r="L54" s="25" t="inlineStr">
        <is>
          <t>【目标】验收双块摘要结构。
【运行命令】npm test -- --grep 'DualBlockSummary'
【验收检查项】1. analysis块提高摘要质量 2. summary块9段结构完整 3. formatCompactSummary正确剥离 4. 注入上下文无analysis残留</t>
        </is>
      </c>
      <c r="M54" s="22" t="inlineStr">
        <is>
          <t>双块摘要验收通过</t>
        </is>
      </c>
      <c r="N54" s="22" t="inlineStr"/>
    </row>
    <row r="55">
      <c r="A55" s="26" t="inlineStr">
        <is>
          <t>V25-CPH-008</t>
        </is>
      </c>
      <c r="B55" s="26" t="inlineStr">
        <is>
          <t>熔断器 - 测试</t>
        </is>
      </c>
      <c r="C55" s="26" t="inlineStr">
        <is>
          <t>Red测试</t>
        </is>
      </c>
      <c r="D55" s="26" t="inlineStr">
        <is>
          <t>Compaction Harness</t>
        </is>
      </c>
      <c r="E55" s="28" t="inlineStr">
        <is>
          <t>P1</t>
        </is>
      </c>
      <c r="F55" s="26" t="inlineStr">
        <is>
          <t>AI工程师</t>
        </is>
      </c>
      <c r="G55" s="26" t="n">
        <v>2</v>
      </c>
      <c r="H55" s="26" t="inlineStr">
        <is>
          <t>2026-W32</t>
        </is>
      </c>
      <c r="I55" s="26" t="inlineStr">
        <is>
          <t>2026-W33</t>
        </is>
      </c>
      <c r="J55" s="26" t="inlineStr"/>
      <c r="K55" s="24" t="inlineStr">
        <is>
          <t>未开始</t>
        </is>
      </c>
      <c r="L55" s="27" t="inlineStr">
        <is>
          <t>【目标】测试压缩熔断器：MAX_CONSECUTIVE_AUTOCOMPACT_FAILURES=3，连续3次压缩失败后停止自动压缩并降级到L2 time-based microcompact。借鉴BQ数据：1279个会话50+连续失败，每天浪费约250K API调用。
【运行命令】npm test -- --grep 'CompactionCircuitBreaker'
【测试文件路径】src/harness/compaction/__tests__/circuitBreaker.test.ts
【测试用例清单】1. 连续3次失败→触发熔断 2. 熔断后降级到L2 3. 成功一次→重置计数器 4. 熔断状态可查询 5. 熔断恢复后自动重试</t>
        </is>
      </c>
      <c r="M55" s="26" t="inlineStr">
        <is>
          <t>熔断器正确工作</t>
        </is>
      </c>
      <c r="N55" s="26" t="inlineStr">
        <is>
          <t>借鉴BQ：1279会话50+失败，250K API/天浪费</t>
        </is>
      </c>
    </row>
    <row r="56">
      <c r="A56" s="22" t="inlineStr">
        <is>
          <t>V25-CPH-009</t>
        </is>
      </c>
      <c r="B56" s="22" t="inlineStr">
        <is>
          <t>熔断器 - 实现</t>
        </is>
      </c>
      <c r="C56" s="22" t="inlineStr">
        <is>
          <t>Green实现</t>
        </is>
      </c>
      <c r="D56" s="22" t="inlineStr">
        <is>
          <t>Compaction Harness</t>
        </is>
      </c>
      <c r="E56" s="28" t="inlineStr">
        <is>
          <t>P1</t>
        </is>
      </c>
      <c r="F56" s="22" t="inlineStr">
        <is>
          <t>AI工程师</t>
        </is>
      </c>
      <c r="G56" s="22" t="n">
        <v>3</v>
      </c>
      <c r="H56" s="22" t="inlineStr">
        <is>
          <t>2026-W32</t>
        </is>
      </c>
      <c r="I56" s="22" t="inlineStr">
        <is>
          <t>2026-W33</t>
        </is>
      </c>
      <c r="J56" s="22" t="inlineStr">
        <is>
          <t>V25-CPH-008</t>
        </is>
      </c>
      <c r="K56" s="24" t="inlineStr">
        <is>
          <t>未开始</t>
        </is>
      </c>
      <c r="L56" s="25" t="inlineStr">
        <is>
          <t>【目标】实现压缩熔断器：创建CompactionCircuitBreaker类，跟踪连续失败次数，达到阈值(3)后切换到L2降级模式。成功时重置计数器。
【运行命令】npm test -- --grep 'CompactionCircuitBreaker'
【实现步骤】1. 创建src/harness/compaction/circuitBreaker.ts 2. 实现CircuitBreaker类 3. 集成到CompactionEngine 4. 添加熔断状态监控
【源文件路径】src/harness/compaction/circuitBreaker.ts
【测试文件路径】src/harness/compaction/__tests__/circuitBreaker.test.ts</t>
        </is>
      </c>
      <c r="M56" s="22" t="inlineStr">
        <is>
          <t>熔断器正确实现</t>
        </is>
      </c>
      <c r="N56" s="22" t="inlineStr"/>
    </row>
    <row r="57">
      <c r="A57" s="26" t="inlineStr">
        <is>
          <t>V25-CPH-010</t>
        </is>
      </c>
      <c r="B57" s="26" t="inlineStr">
        <is>
          <t>熔断器 - 验收</t>
        </is>
      </c>
      <c r="C57" s="26" t="inlineStr">
        <is>
          <t>Acceptance验收</t>
        </is>
      </c>
      <c r="D57" s="26" t="inlineStr">
        <is>
          <t>Compaction Harness</t>
        </is>
      </c>
      <c r="E57" s="28" t="inlineStr">
        <is>
          <t>P1</t>
        </is>
      </c>
      <c r="F57" s="26" t="inlineStr">
        <is>
          <t>AI工程师</t>
        </is>
      </c>
      <c r="G57" s="26" t="n">
        <v>2</v>
      </c>
      <c r="H57" s="26" t="inlineStr">
        <is>
          <t>2026-W32</t>
        </is>
      </c>
      <c r="I57" s="26" t="inlineStr">
        <is>
          <t>2026-W33</t>
        </is>
      </c>
      <c r="J57" s="26" t="inlineStr">
        <is>
          <t>V25-CPH-009</t>
        </is>
      </c>
      <c r="K57" s="24" t="inlineStr">
        <is>
          <t>未开始</t>
        </is>
      </c>
      <c r="L57" s="27" t="inlineStr">
        <is>
          <t>【目标】验收熔断器功能。
【运行命令】npm test -- --grep 'CompactionCircuitBreaker'
【验收检查项】1. 3次连续失败触发熔断 2. 降级到L2模式 3. 成功重置计数器 4. 熔断状态正确上报</t>
        </is>
      </c>
      <c r="M57" s="26" t="inlineStr">
        <is>
          <t>熔断器验收通过</t>
        </is>
      </c>
      <c r="N57" s="26" t="inlineStr"/>
    </row>
    <row r="58">
      <c r="A58" s="22" t="inlineStr">
        <is>
          <t>V25-CPH-011</t>
        </is>
      </c>
      <c r="B58" s="22" t="inlineStr">
        <is>
          <t>工具结果大小限制 - 测试</t>
        </is>
      </c>
      <c r="C58" s="22" t="inlineStr">
        <is>
          <t>Red测试</t>
        </is>
      </c>
      <c r="D58" s="22" t="inlineStr">
        <is>
          <t>Compaction Harness</t>
        </is>
      </c>
      <c r="E58" s="28" t="inlineStr">
        <is>
          <t>P1</t>
        </is>
      </c>
      <c r="F58" s="22" t="inlineStr">
        <is>
          <t>AI工程师</t>
        </is>
      </c>
      <c r="G58" s="22" t="n">
        <v>2</v>
      </c>
      <c r="H58" s="22" t="inlineStr">
        <is>
          <t>2026-W32</t>
        </is>
      </c>
      <c r="I58" s="22" t="inlineStr">
        <is>
          <t>2026-W33</t>
        </is>
      </c>
      <c r="J58" s="22" t="inlineStr"/>
      <c r="K58" s="24" t="inlineStr">
        <is>
          <t>未开始</t>
        </is>
      </c>
      <c r="L58" s="25" t="inlineStr">
        <is>
          <t>【目标】测试工具结果大小限制：单结果50,000字符(DEFAULT_MAX_RESULT_SIZE_CHARS)，单消息200,000字符(MAX_PER_MESSAGE_CHARS)。超出限制时持久化到磁盘，模型收到截断预览+文件路径。
【运行命令】npm test -- --grep 'ResultSizeLimit'
【测试文件路径】src/harness/compaction/__tests__/resultSizeLimit.test.ts
【测试用例清单】1. 单结果&lt;50K→完整返回 2. 单结果&gt;50K→截断+文件路径 3. 单消息&gt;200K→聚合截断 4. 磁盘持久化正确 5. 截断预览包含上下文</t>
        </is>
      </c>
      <c r="M58" s="22" t="inlineStr">
        <is>
          <t>工具结果大小限制正确工作</t>
        </is>
      </c>
      <c r="N58" s="22" t="inlineStr"/>
    </row>
    <row r="59">
      <c r="A59" s="26" t="inlineStr">
        <is>
          <t>V25-CPH-012</t>
        </is>
      </c>
      <c r="B59" s="26" t="inlineStr">
        <is>
          <t>工具结果大小限制 - 实现</t>
        </is>
      </c>
      <c r="C59" s="26" t="inlineStr">
        <is>
          <t>Green实现</t>
        </is>
      </c>
      <c r="D59" s="26" t="inlineStr">
        <is>
          <t>Compaction Harness</t>
        </is>
      </c>
      <c r="E59" s="28" t="inlineStr">
        <is>
          <t>P1</t>
        </is>
      </c>
      <c r="F59" s="26" t="inlineStr">
        <is>
          <t>AI工程师</t>
        </is>
      </c>
      <c r="G59" s="26" t="n">
        <v>3</v>
      </c>
      <c r="H59" s="26" t="inlineStr">
        <is>
          <t>2026-W33</t>
        </is>
      </c>
      <c r="I59" s="26" t="inlineStr">
        <is>
          <t>2026-W34</t>
        </is>
      </c>
      <c r="J59" s="26" t="inlineStr">
        <is>
          <t>V25-CPH-011</t>
        </is>
      </c>
      <c r="K59" s="24" t="inlineStr">
        <is>
          <t>未开始</t>
        </is>
      </c>
      <c r="L59" s="27" t="inlineStr">
        <is>
          <t>【目标】实现工具结果大小限制：创建ResultSizeLimiter类，检查单个工具结果和单消息聚合大小。超出时将完整结果持久化到磁盘，返回截断预览（前2000字符+...+文件路径）。
【运行命令】npm test -- --grep 'ResultSizeLimit'
【实现步骤】1. 创建src/harness/compaction/resultSizeLimit.ts 2. 实现truncateResult()方法 3. 实现persistToDisk()方法 4. 集成到Tool System
【源文件路径】src/harness/compaction/resultSizeLimit.ts
【测试文件路径】src/harness/compaction/__tests__/resultSizeLimit.test.ts</t>
        </is>
      </c>
      <c r="M59" s="26" t="inlineStr">
        <is>
          <t>工具结果大小限制正确实现</t>
        </is>
      </c>
      <c r="N59" s="26" t="inlineStr"/>
    </row>
    <row r="60">
      <c r="A60" s="22" t="inlineStr">
        <is>
          <t>V25-CPH-013</t>
        </is>
      </c>
      <c r="B60" s="22" t="inlineStr">
        <is>
          <t>工具结果大小限制 - 验收</t>
        </is>
      </c>
      <c r="C60" s="22" t="inlineStr">
        <is>
          <t>Acceptance验收</t>
        </is>
      </c>
      <c r="D60" s="22" t="inlineStr">
        <is>
          <t>Compaction Harness</t>
        </is>
      </c>
      <c r="E60" s="28" t="inlineStr">
        <is>
          <t>P1</t>
        </is>
      </c>
      <c r="F60" s="22" t="inlineStr">
        <is>
          <t>AI工程师</t>
        </is>
      </c>
      <c r="G60" s="22" t="n">
        <v>2</v>
      </c>
      <c r="H60" s="22" t="inlineStr">
        <is>
          <t>2026-W33</t>
        </is>
      </c>
      <c r="I60" s="22" t="inlineStr">
        <is>
          <t>2026-W34</t>
        </is>
      </c>
      <c r="J60" s="22" t="inlineStr">
        <is>
          <t>V25-CPH-012</t>
        </is>
      </c>
      <c r="K60" s="24" t="inlineStr">
        <is>
          <t>未开始</t>
        </is>
      </c>
      <c r="L60" s="25" t="inlineStr">
        <is>
          <t>【目标】验收工具结果大小限制。
【运行命令】npm test -- --grep 'ResultSizeLimit'
【验收检查项】1. 50K单结果限制正确 2. 200K单消息限制正确 3. 磁盘持久化可恢复 4. 截断预览有意义</t>
        </is>
      </c>
      <c r="M60" s="22" t="inlineStr">
        <is>
          <t>工具结果大小限制验收通过</t>
        </is>
      </c>
      <c r="N60" s="22" t="inlineStr"/>
    </row>
    <row r="61">
      <c r="A61" s="26" t="inlineStr">
        <is>
          <t>V25-CPH-014</t>
        </is>
      </c>
      <c r="B61" s="26" t="inlineStr">
        <is>
          <t>Context Collapse可逆压缩 - 测试</t>
        </is>
      </c>
      <c r="C61" s="26" t="inlineStr">
        <is>
          <t>Red测试</t>
        </is>
      </c>
      <c r="D61" s="26" t="inlineStr">
        <is>
          <t>Compaction Harness</t>
        </is>
      </c>
      <c r="E61" s="28" t="inlineStr">
        <is>
          <t>P1</t>
        </is>
      </c>
      <c r="F61" s="26" t="inlineStr">
        <is>
          <t>AI工程师</t>
        </is>
      </c>
      <c r="G61" s="26" t="n">
        <v>3</v>
      </c>
      <c r="H61" s="26" t="inlineStr">
        <is>
          <t>2026-W33</t>
        </is>
      </c>
      <c r="I61" s="26" t="inlineStr">
        <is>
          <t>2026-W34</t>
        </is>
      </c>
      <c r="J61" s="26" t="inlineStr"/>
      <c r="K61" s="24" t="inlineStr">
        <is>
          <t>未开始</t>
        </is>
      </c>
      <c r="L61" s="27" t="inlineStr">
        <is>
          <t>【目标】测试Context Collapse可逆压缩：使用UUID边界追踪(first_archived_msg_id/last_archived_msg_id)记录压缩范围，完整摘要保留，有序提交链(commit B可引用commit A的摘要)。用户可撤销某次压缩恢复被压缩的章节上下文。
【运行命令】npm test -- --grep 'ContextCollapse'
【测试文件路径】src/harness/compaction/__tests__/contextCollapse.test.ts
【测试用例清单】1. 压缩记录包含UUID边界 2. 完整摘要保留 3. 有序提交链正确 4. 撤销操作恢复原始消息 5. 部分撤销不影响后续提交</t>
        </is>
      </c>
      <c r="M61" s="26" t="inlineStr">
        <is>
          <t>Context Collapse可逆压缩正确工作</t>
        </is>
      </c>
      <c r="N61" s="26" t="inlineStr"/>
    </row>
    <row r="62">
      <c r="A62" s="22" t="inlineStr">
        <is>
          <t>V25-CPH-015</t>
        </is>
      </c>
      <c r="B62" s="22" t="inlineStr">
        <is>
          <t>Context Collapse可逆压缩 - 实现</t>
        </is>
      </c>
      <c r="C62" s="22" t="inlineStr">
        <is>
          <t>Green实现</t>
        </is>
      </c>
      <c r="D62" s="22" t="inlineStr">
        <is>
          <t>Compaction Harness</t>
        </is>
      </c>
      <c r="E62" s="28" t="inlineStr">
        <is>
          <t>P1</t>
        </is>
      </c>
      <c r="F62" s="22" t="inlineStr">
        <is>
          <t>AI工程师</t>
        </is>
      </c>
      <c r="G62" s="22" t="n">
        <v>5</v>
      </c>
      <c r="H62" s="22" t="inlineStr">
        <is>
          <t>2026-W33</t>
        </is>
      </c>
      <c r="I62" s="22" t="inlineStr">
        <is>
          <t>2026-W34</t>
        </is>
      </c>
      <c r="J62" s="22" t="inlineStr">
        <is>
          <t>V25-CPH-014</t>
        </is>
      </c>
      <c r="K62" s="24" t="inlineStr">
        <is>
          <t>未开始</t>
        </is>
      </c>
      <c r="L62" s="25" t="inlineStr">
        <is>
          <t>【目标】实现Context Collapse可逆压缩：创建ContextCollapseManager类，每次压缩生成ContextCollapseCommitEntry记录（collapseId、summaryContent、firstArchivedUuid、lastArchivedUuid）。实现undo()方法恢复指定压缩。
【运行命令】npm test -- --grep 'ContextCollapse'
【实现步骤】1. 创建src/harness/compaction/contextCollapse.ts 2. 实现collapse()方法 3. 实现undo()方法 4. 实现有序提交链 5. 持久化到compaction_records表
【源文件路径】src/harness/compaction/contextCollapse.ts
【测试文件路径】src/harness/compaction/__tests__/contextCollapse.test.ts</t>
        </is>
      </c>
      <c r="M62" s="22" t="inlineStr">
        <is>
          <t>Context Collapse可逆压缩正确实现</t>
        </is>
      </c>
      <c r="N62" s="22" t="inlineStr"/>
    </row>
    <row r="63">
      <c r="A63" s="26" t="inlineStr">
        <is>
          <t>V25-CPH-016</t>
        </is>
      </c>
      <c r="B63" s="26" t="inlineStr">
        <is>
          <t>Context Collapse可逆压缩 - 验收</t>
        </is>
      </c>
      <c r="C63" s="26" t="inlineStr">
        <is>
          <t>Acceptance验收</t>
        </is>
      </c>
      <c r="D63" s="26" t="inlineStr">
        <is>
          <t>Compaction Harness</t>
        </is>
      </c>
      <c r="E63" s="28" t="inlineStr">
        <is>
          <t>P1</t>
        </is>
      </c>
      <c r="F63" s="26" t="inlineStr">
        <is>
          <t>AI工程师</t>
        </is>
      </c>
      <c r="G63" s="26" t="n">
        <v>2</v>
      </c>
      <c r="H63" s="26" t="inlineStr">
        <is>
          <t>2026-W34</t>
        </is>
      </c>
      <c r="I63" s="26" t="inlineStr">
        <is>
          <t>2026-W35</t>
        </is>
      </c>
      <c r="J63" s="26" t="inlineStr">
        <is>
          <t>V25-CPH-015</t>
        </is>
      </c>
      <c r="K63" s="24" t="inlineStr">
        <is>
          <t>未开始</t>
        </is>
      </c>
      <c r="L63" s="27" t="inlineStr">
        <is>
          <t>【目标】验收Context Collapse可逆压缩。
【运行命令】npm test -- --grep 'ContextCollapse'
【验收检查项】1. 压缩记录完整 2. 撤销恢复原始消息 3. 有序提交链正确 4. 数据库记录可查询</t>
        </is>
      </c>
      <c r="M63" s="26" t="inlineStr">
        <is>
          <t>Context Collapse验收通过</t>
        </is>
      </c>
      <c r="N63" s="26" t="inlineStr"/>
    </row>
    <row r="64">
      <c r="A64" s="22" t="inlineStr">
        <is>
          <t>V25-CPH-017</t>
        </is>
      </c>
      <c r="B64" s="22" t="inlineStr">
        <is>
          <t>压缩Fork的Cache共享 - 测试</t>
        </is>
      </c>
      <c r="C64" s="22" t="inlineStr">
        <is>
          <t>Red测试</t>
        </is>
      </c>
      <c r="D64" s="22" t="inlineStr">
        <is>
          <t>Compaction Harness</t>
        </is>
      </c>
      <c r="E64" s="28" t="inlineStr">
        <is>
          <t>P1</t>
        </is>
      </c>
      <c r="F64" s="22" t="inlineStr">
        <is>
          <t>AI工程师</t>
        </is>
      </c>
      <c r="G64" s="22" t="n">
        <v>2</v>
      </c>
      <c r="H64" s="22" t="inlineStr">
        <is>
          <t>2026-W34</t>
        </is>
      </c>
      <c r="I64" s="22" t="inlineStr">
        <is>
          <t>2026-W35</t>
        </is>
      </c>
      <c r="J64" s="22" t="inlineStr"/>
      <c r="K64" s="24" t="inlineStr">
        <is>
          <t>未开始</t>
        </is>
      </c>
      <c r="L64" s="25" t="inlineStr">
        <is>
          <t>【目标】测试压缩请求默认使用forked agent复用主对话的缓存前缀，避免压缩操作bust主对话的缓存。借鉴Claude Code：false路径98% cache miss，消耗0.76%全舰队cache_creation。
【运行命令】npm test -- --grep 'CompactionFork'
【测试文件路径】src/harness/compaction/__tests__/compactionFork.test.ts
【测试用例清单】1. 压缩请求使用forked agent 2. 复用主对话缓存前缀 3. 压缩不bust主对话缓存 4. false路径回退正确</t>
        </is>
      </c>
      <c r="M64" s="22" t="inlineStr">
        <is>
          <t>压缩Fork正确共享缓存</t>
        </is>
      </c>
      <c r="N64" s="22" t="inlineStr">
        <is>
          <t>借鉴Claude Code：false路径98% miss</t>
        </is>
      </c>
    </row>
    <row r="65">
      <c r="A65" s="26" t="inlineStr">
        <is>
          <t>V25-CPH-018</t>
        </is>
      </c>
      <c r="B65" s="26" t="inlineStr">
        <is>
          <t>压缩Fork的Cache共享 - 实现</t>
        </is>
      </c>
      <c r="C65" s="26" t="inlineStr">
        <is>
          <t>Green实现</t>
        </is>
      </c>
      <c r="D65" s="26" t="inlineStr">
        <is>
          <t>Compaction Harness</t>
        </is>
      </c>
      <c r="E65" s="28" t="inlineStr">
        <is>
          <t>P1</t>
        </is>
      </c>
      <c r="F65" s="26" t="inlineStr">
        <is>
          <t>AI工程师</t>
        </is>
      </c>
      <c r="G65" s="26" t="n">
        <v>3</v>
      </c>
      <c r="H65" s="26" t="inlineStr">
        <is>
          <t>2026-W34</t>
        </is>
      </c>
      <c r="I65" s="26" t="inlineStr">
        <is>
          <t>2026-W35</t>
        </is>
      </c>
      <c r="J65" s="26" t="inlineStr">
        <is>
          <t>V25-CPH-017</t>
        </is>
      </c>
      <c r="K65" s="24" t="inlineStr">
        <is>
          <t>未开始</t>
        </is>
      </c>
      <c r="L65" s="27" t="inlineStr">
        <is>
          <t>【目标】实现压缩Fork的Cache共享：在L4 Full Compact中使用forked agent模式，复用主对话的prompt cache前缀。false路径（fork失败）回退到独立请求。
【运行命令】npm test -- --grep 'CompactionFork'
【实现步骤】1. 创建src/harness/compaction/compactionFork.ts 2. 实现createCompactionFork()方法 3. 实现缓存前缀复用逻辑 4. 实现false路径回退
【源文件路径】src/harness/compaction/compactionFork.ts
【测试文件路径】src/harness/compaction/__tests__/compactionFork.test.ts</t>
        </is>
      </c>
      <c r="M65" s="26" t="inlineStr">
        <is>
          <t>压缩Fork Cache共享正确实现</t>
        </is>
      </c>
      <c r="N65" s="26" t="inlineStr"/>
    </row>
    <row r="66">
      <c r="A66" s="22" t="inlineStr">
        <is>
          <t>V25-CPH-019</t>
        </is>
      </c>
      <c r="B66" s="22" t="inlineStr">
        <is>
          <t>压缩Fork的Cache共享 - 验收</t>
        </is>
      </c>
      <c r="C66" s="22" t="inlineStr">
        <is>
          <t>Acceptance验收</t>
        </is>
      </c>
      <c r="D66" s="22" t="inlineStr">
        <is>
          <t>Compaction Harness</t>
        </is>
      </c>
      <c r="E66" s="28" t="inlineStr">
        <is>
          <t>P1</t>
        </is>
      </c>
      <c r="F66" s="22" t="inlineStr">
        <is>
          <t>AI工程师</t>
        </is>
      </c>
      <c r="G66" s="22" t="n">
        <v>2</v>
      </c>
      <c r="H66" s="22" t="inlineStr">
        <is>
          <t>2026-W34</t>
        </is>
      </c>
      <c r="I66" s="22" t="inlineStr">
        <is>
          <t>2026-W35</t>
        </is>
      </c>
      <c r="J66" s="22" t="inlineStr">
        <is>
          <t>V25-CPH-018</t>
        </is>
      </c>
      <c r="K66" s="24" t="inlineStr">
        <is>
          <t>未开始</t>
        </is>
      </c>
      <c r="L66" s="25" t="inlineStr">
        <is>
          <t>【目标】验收压缩Fork Cache共享。
【运行命令】npm test -- --grep 'CompactionFork'
【验收检查项】1. forked agent正确复用缓存 2. 主对话缓存不受影响 3. false路径回退正常</t>
        </is>
      </c>
      <c r="M66" s="22" t="inlineStr">
        <is>
          <t>压缩Fork Cache共享验收通过</t>
        </is>
      </c>
      <c r="N66" s="22" t="inlineStr"/>
    </row>
    <row r="67">
      <c r="A67" s="26" t="inlineStr">
        <is>
          <t>V25-MMH-001</t>
        </is>
      </c>
      <c r="B67" s="26" t="inlineStr">
        <is>
          <t>NOVEL.md双重截断 - 测试</t>
        </is>
      </c>
      <c r="C67" s="26" t="inlineStr">
        <is>
          <t>Red测试</t>
        </is>
      </c>
      <c r="D67" s="26" t="inlineStr">
        <is>
          <t>Memory Harness</t>
        </is>
      </c>
      <c r="E67" s="28" t="inlineStr">
        <is>
          <t>P1</t>
        </is>
      </c>
      <c r="F67" s="26" t="inlineStr">
        <is>
          <t>AI工程师</t>
        </is>
      </c>
      <c r="G67" s="26" t="n">
        <v>2</v>
      </c>
      <c r="H67" s="26" t="inlineStr">
        <is>
          <t>2026-W30</t>
        </is>
      </c>
      <c r="I67" s="26" t="inlineStr">
        <is>
          <t>2026-W31</t>
        </is>
      </c>
      <c r="J67" s="26" t="inlineStr"/>
      <c r="K67" s="24" t="inlineStr">
        <is>
          <t>未开始</t>
        </is>
      </c>
      <c r="L67" s="27" t="inlineStr">
        <is>
          <t>【目标】测试NOVEL.md双重截断：行数上限200行+字节上限25000字节。防止极端长行（Claude Code p100观测到197KB单行）绕过行数限制。验证截断时保留最重要的内容。
【运行命令】npm test -- --grep 'NovelMdTruncation'
【测试文件路径】src/harness/memory/__tests__/novelMdTruncation.test.ts
【测试用例清单】1. 行数&gt;200→截断到200行 2. 字节&gt;25000→截断到25000字节 3. 极端长单行（&gt;100KB）被正确截断 4. 截断保留高优先级内容 5. 截断位置不破坏Markdown格式</t>
        </is>
      </c>
      <c r="M67" s="26" t="inlineStr">
        <is>
          <t>双重截断正确工作</t>
        </is>
      </c>
      <c r="N67" s="26" t="inlineStr">
        <is>
          <t>借鉴Claude Code：p100观测197KB单行</t>
        </is>
      </c>
    </row>
    <row r="68">
      <c r="A68" s="22" t="inlineStr">
        <is>
          <t>V25-MMH-002</t>
        </is>
      </c>
      <c r="B68" s="22" t="inlineStr">
        <is>
          <t>NOVEL.md双重截断 - 实现</t>
        </is>
      </c>
      <c r="C68" s="22" t="inlineStr">
        <is>
          <t>Green实现</t>
        </is>
      </c>
      <c r="D68" s="22" t="inlineStr">
        <is>
          <t>Memory Harness</t>
        </is>
      </c>
      <c r="E68" s="28" t="inlineStr">
        <is>
          <t>P1</t>
        </is>
      </c>
      <c r="F68" s="22" t="inlineStr">
        <is>
          <t>AI工程师</t>
        </is>
      </c>
      <c r="G68" s="22" t="n">
        <v>3</v>
      </c>
      <c r="H68" s="22" t="inlineStr">
        <is>
          <t>2026-W30</t>
        </is>
      </c>
      <c r="I68" s="22" t="inlineStr">
        <is>
          <t>2026-W31</t>
        </is>
      </c>
      <c r="J68" s="22" t="inlineStr">
        <is>
          <t>V25-MMH-001</t>
        </is>
      </c>
      <c r="K68" s="24" t="inlineStr">
        <is>
          <t>未开始</t>
        </is>
      </c>
      <c r="L68" s="25" t="inlineStr">
        <is>
          <t>【目标】实现NOVEL.md双重截断：创建NovelMdManager类，写入时同时检查行数(200)和字节数(25000)上限。超限时按优先级截断低重要性内容。
【运行命令】npm test -- --grep 'NovelMdTruncation'
【实现步骤】1. 创建src/harness/memory/novelMdManager.ts 2. 实现双重截断逻辑 3. 实现优先级排序 4. 集成到Memory Harness
【源文件路径】src/harness/memory/novelMdManager.ts
【测试文件路径】src/harness/memory/__tests__/novelMdTruncation.test.ts</t>
        </is>
      </c>
      <c r="M68" s="22" t="inlineStr">
        <is>
          <t>NOVEL.md双重截断正确实现</t>
        </is>
      </c>
      <c r="N68" s="22" t="inlineStr"/>
    </row>
    <row r="69">
      <c r="A69" s="26" t="inlineStr">
        <is>
          <t>V25-MMH-003</t>
        </is>
      </c>
      <c r="B69" s="26" t="inlineStr">
        <is>
          <t>NOVEL.md双重截断 - 验收</t>
        </is>
      </c>
      <c r="C69" s="26" t="inlineStr">
        <is>
          <t>Acceptance验收</t>
        </is>
      </c>
      <c r="D69" s="26" t="inlineStr">
        <is>
          <t>Memory Harness</t>
        </is>
      </c>
      <c r="E69" s="28" t="inlineStr">
        <is>
          <t>P1</t>
        </is>
      </c>
      <c r="F69" s="26" t="inlineStr">
        <is>
          <t>AI工程师</t>
        </is>
      </c>
      <c r="G69" s="26" t="n">
        <v>2</v>
      </c>
      <c r="H69" s="26" t="inlineStr">
        <is>
          <t>2026-W31</t>
        </is>
      </c>
      <c r="I69" s="26" t="inlineStr">
        <is>
          <t>2026-W32</t>
        </is>
      </c>
      <c r="J69" s="26" t="inlineStr">
        <is>
          <t>V25-MMH-002</t>
        </is>
      </c>
      <c r="K69" s="24" t="inlineStr">
        <is>
          <t>未开始</t>
        </is>
      </c>
      <c r="L69" s="27" t="inlineStr">
        <is>
          <t>【目标】验收NOVEL.md双重截断。
【运行命令】npm test -- --grep 'NovelMdTruncation'
【验收检查项】1. 行数限制正确 2. 字节限制正确 3. 极端长行被截断 4. Markdown格式完整</t>
        </is>
      </c>
      <c r="M69" s="26" t="inlineStr">
        <is>
          <t>NOVEL.md双重截断验收通过</t>
        </is>
      </c>
      <c r="N69" s="26" t="inlineStr"/>
    </row>
    <row r="70">
      <c r="A70" s="22" t="inlineStr">
        <is>
          <t>V25-MMH-004</t>
        </is>
      </c>
      <c r="B70" s="22" t="inlineStr">
        <is>
          <t>记忆老化警告 - 测试</t>
        </is>
      </c>
      <c r="C70" s="22" t="inlineStr">
        <is>
          <t>Red测试</t>
        </is>
      </c>
      <c r="D70" s="22" t="inlineStr">
        <is>
          <t>Memory Harness</t>
        </is>
      </c>
      <c r="E70" s="28" t="inlineStr">
        <is>
          <t>P1</t>
        </is>
      </c>
      <c r="F70" s="22" t="inlineStr">
        <is>
          <t>AI工程师</t>
        </is>
      </c>
      <c r="G70" s="22" t="n">
        <v>2</v>
      </c>
      <c r="H70" s="22" t="inlineStr">
        <is>
          <t>2026-W31</t>
        </is>
      </c>
      <c r="I70" s="22" t="inlineStr">
        <is>
          <t>2026-W32</t>
        </is>
      </c>
      <c r="J70" s="22" t="inlineStr"/>
      <c r="K70" s="24" t="inlineStr">
        <is>
          <t>未开始</t>
        </is>
      </c>
      <c r="L70" s="25" t="inlineStr">
        <is>
          <t>【目标】测试记忆老化警告：&gt;1天的记忆附加&lt;system-reminder&gt;过期警告标签。防止过期角色设定/情节信息被AI断言为事实（Claude Code事故：过期file:line引用反而让过期声明显得更权威）。
【运行命令】npm test -- --grep 'MemoryAging'
【测试文件路径】src/harness/memory/__tests__/memoryAging.test.ts
【测试用例清单】1. &lt;1天记忆无警告 2. &gt;1天记忆附加过期警告 3. &gt;7天记忆附加强烈过期警告 4. 警告格式正确 5. AI能理解警告并降低信任</t>
        </is>
      </c>
      <c r="M70" s="22" t="inlineStr">
        <is>
          <t>记忆老化警告正确工作</t>
        </is>
      </c>
      <c r="N70" s="22" t="inlineStr">
        <is>
          <t>借鉴Claude Code：过期file:line引用被断言为事实</t>
        </is>
      </c>
    </row>
    <row r="71">
      <c r="A71" s="26" t="inlineStr">
        <is>
          <t>V25-MMH-005</t>
        </is>
      </c>
      <c r="B71" s="26" t="inlineStr">
        <is>
          <t>记忆老化警告 - 实现</t>
        </is>
      </c>
      <c r="C71" s="26" t="inlineStr">
        <is>
          <t>Green实现</t>
        </is>
      </c>
      <c r="D71" s="26" t="inlineStr">
        <is>
          <t>Memory Harness</t>
        </is>
      </c>
      <c r="E71" s="28" t="inlineStr">
        <is>
          <t>P1</t>
        </is>
      </c>
      <c r="F71" s="26" t="inlineStr">
        <is>
          <t>AI工程师</t>
        </is>
      </c>
      <c r="G71" s="26" t="n">
        <v>3</v>
      </c>
      <c r="H71" s="26" t="inlineStr">
        <is>
          <t>2026-W31</t>
        </is>
      </c>
      <c r="I71" s="26" t="inlineStr">
        <is>
          <t>2026-W32</t>
        </is>
      </c>
      <c r="J71" s="26" t="inlineStr">
        <is>
          <t>V25-MMH-004</t>
        </is>
      </c>
      <c r="K71" s="24" t="inlineStr">
        <is>
          <t>未开始</t>
        </is>
      </c>
      <c r="L71" s="27" t="inlineStr">
        <is>
          <t>【目标】实现记忆老化警告：创建MemoryAgingManager类，检查每条记忆的创建时间，&gt;1天附加&lt;system-reminder&gt;注意：以下记忆可能已变更&lt;/system-reminder&gt;，&gt;7天附加强烈警告。
【运行命令】npm test -- --grep 'MemoryAging'
【实现步骤】1. 创建src/harness/memory/memoryAgingManager.ts 2. 实现checkAging()方法 3. 实现警告标签生成 4. 集成到Memory检索流程
【源文件路径】src/harness/memory/memoryAgingManager.ts
【测试文件路径】src/harness/memory/__tests__/memoryAging.test.ts</t>
        </is>
      </c>
      <c r="M71" s="26" t="inlineStr">
        <is>
          <t>记忆老化警告正确实现</t>
        </is>
      </c>
      <c r="N71" s="26" t="inlineStr"/>
    </row>
    <row r="72">
      <c r="A72" s="22" t="inlineStr">
        <is>
          <t>V25-MMH-006</t>
        </is>
      </c>
      <c r="B72" s="22" t="inlineStr">
        <is>
          <t>记忆老化警告 - 验收</t>
        </is>
      </c>
      <c r="C72" s="22" t="inlineStr">
        <is>
          <t>Acceptance验收</t>
        </is>
      </c>
      <c r="D72" s="22" t="inlineStr">
        <is>
          <t>Memory Harness</t>
        </is>
      </c>
      <c r="E72" s="28" t="inlineStr">
        <is>
          <t>P1</t>
        </is>
      </c>
      <c r="F72" s="22" t="inlineStr">
        <is>
          <t>AI工程师</t>
        </is>
      </c>
      <c r="G72" s="22" t="n">
        <v>2</v>
      </c>
      <c r="H72" s="22" t="inlineStr">
        <is>
          <t>2026-W31</t>
        </is>
      </c>
      <c r="I72" s="22" t="inlineStr">
        <is>
          <t>2026-W32</t>
        </is>
      </c>
      <c r="J72" s="22" t="inlineStr">
        <is>
          <t>V25-MMH-005</t>
        </is>
      </c>
      <c r="K72" s="24" t="inlineStr">
        <is>
          <t>未开始</t>
        </is>
      </c>
      <c r="L72" s="25" t="inlineStr">
        <is>
          <t>【目标】验收记忆老化警告。
【运行命令】npm test -- --grep 'MemoryAging'
【验收检查项】1. 1天阈值正确 2. 7天强烈警告正确 3. 警告格式正确 4. AI正确处理警告</t>
        </is>
      </c>
      <c r="M72" s="22" t="inlineStr">
        <is>
          <t>记忆老化警告验收通过</t>
        </is>
      </c>
      <c r="N72" s="22" t="inlineStr"/>
    </row>
    <row r="73">
      <c r="A73" s="26" t="inlineStr">
        <is>
          <t>V25-MMH-007</t>
        </is>
      </c>
      <c r="B73" s="26" t="inlineStr">
        <is>
          <t>自动记忆提取Forked Agent - 测试</t>
        </is>
      </c>
      <c r="C73" s="26" t="inlineStr">
        <is>
          <t>Red测试</t>
        </is>
      </c>
      <c r="D73" s="26" t="inlineStr">
        <is>
          <t>Memory Harness</t>
        </is>
      </c>
      <c r="E73" s="28" t="inlineStr">
        <is>
          <t>P1</t>
        </is>
      </c>
      <c r="F73" s="26" t="inlineStr">
        <is>
          <t>AI工程师</t>
        </is>
      </c>
      <c r="G73" s="26" t="n">
        <v>4</v>
      </c>
      <c r="H73" s="26" t="inlineStr">
        <is>
          <t>2026-W32</t>
        </is>
      </c>
      <c r="I73" s="26" t="inlineStr">
        <is>
          <t>2026-W33</t>
        </is>
      </c>
      <c r="J73" s="26" t="inlineStr"/>
      <c r="K73" s="24" t="inlineStr">
        <is>
          <t>未开始</t>
        </is>
      </c>
      <c r="L73" s="27" t="inlineStr">
        <is>
          <t>【目标】测试Forked Agent模式自动提取记忆：互斥写入（主agent已写入记忆文件时后台提取器跳过该回合）、重叠合并（正在提取时到达的请求暂存stash，当前提取完成后执行尾部提取）、最大5回合限制、工具沙箱（Read/Grep/Glob无限制，Bash仅只读，Edit/Write仅限记忆目录内）。
【运行命令】npm test -- --grep 'ForkedMemoryExtractor'
【测试文件路径】src/harness/memory/__tests__/forkedMemoryExtractor.test.ts
【测试用例清单】1. 主agent已写入→跳过 2. 提取中到达请求→stash 3. 最大5回合限制 4. 工具沙箱限制正确 5. 提取结果写入记忆文件</t>
        </is>
      </c>
      <c r="M73" s="26" t="inlineStr">
        <is>
          <t>Forked Agent记忆提取正确工作</t>
        </is>
      </c>
      <c r="N73" s="26" t="inlineStr"/>
    </row>
    <row r="74">
      <c r="A74" s="22" t="inlineStr">
        <is>
          <t>V25-MMH-008</t>
        </is>
      </c>
      <c r="B74" s="22" t="inlineStr">
        <is>
          <t>自动记忆提取Forked Agent - 实现</t>
        </is>
      </c>
      <c r="C74" s="22" t="inlineStr">
        <is>
          <t>Green实现</t>
        </is>
      </c>
      <c r="D74" s="22" t="inlineStr">
        <is>
          <t>Memory Harness</t>
        </is>
      </c>
      <c r="E74" s="28" t="inlineStr">
        <is>
          <t>P1</t>
        </is>
      </c>
      <c r="F74" s="22" t="inlineStr">
        <is>
          <t>AI工程师</t>
        </is>
      </c>
      <c r="G74" s="22" t="n">
        <v>6</v>
      </c>
      <c r="H74" s="22" t="inlineStr">
        <is>
          <t>2026-W32</t>
        </is>
      </c>
      <c r="I74" s="22" t="inlineStr">
        <is>
          <t>2026-W33</t>
        </is>
      </c>
      <c r="J74" s="22" t="inlineStr">
        <is>
          <t>V25-MMH-007</t>
        </is>
      </c>
      <c r="K74" s="24" t="inlineStr">
        <is>
          <t>未开始</t>
        </is>
      </c>
      <c r="L74" s="25" t="inlineStr">
        <is>
          <t>【目标】实现Forked Agent自动记忆提取：创建ForkedMemoryExtractor类，使用runForkedAgent创建完美分叉共享父对话prompt cache。实现互斥写入检查、stash队列、5回合限制、工具沙箱。
【运行命令】npm test -- --grep 'ForkedMemoryExtractor'
【实现步骤】1. 创建src/harness/memory/forkedMemoryExtractor.ts 2. 实现runForkedAgent包装 3. 实现互斥写入检查 4. 实现stash队列和尾部提取 5. 实现5回合限制 6. 实现工具沙箱
【源文件路径】src/harness/memory/forkedMemoryExtractor.ts
【测试文件路径】src/harness/memory/__tests__/forkedMemoryExtractor.test.ts</t>
        </is>
      </c>
      <c r="M74" s="22" t="inlineStr">
        <is>
          <t>Forked Agent记忆提取正确实现</t>
        </is>
      </c>
      <c r="N74" s="22" t="inlineStr"/>
    </row>
    <row r="75">
      <c r="A75" s="26" t="inlineStr">
        <is>
          <t>V25-MMH-009</t>
        </is>
      </c>
      <c r="B75" s="26" t="inlineStr">
        <is>
          <t>自动记忆提取Forked Agent - 重构</t>
        </is>
      </c>
      <c r="C75" s="26" t="inlineStr">
        <is>
          <t>Refactor重构</t>
        </is>
      </c>
      <c r="D75" s="26" t="inlineStr">
        <is>
          <t>Memory Harness</t>
        </is>
      </c>
      <c r="E75" s="28" t="inlineStr">
        <is>
          <t>P1</t>
        </is>
      </c>
      <c r="F75" s="26" t="inlineStr">
        <is>
          <t>AI工程师</t>
        </is>
      </c>
      <c r="G75" s="26" t="n">
        <v>2</v>
      </c>
      <c r="H75" s="26" t="inlineStr">
        <is>
          <t>2026-W33</t>
        </is>
      </c>
      <c r="I75" s="26" t="inlineStr">
        <is>
          <t>2026-W34</t>
        </is>
      </c>
      <c r="J75" s="26" t="inlineStr">
        <is>
          <t>V25-MMH-008</t>
        </is>
      </c>
      <c r="K75" s="24" t="inlineStr">
        <is>
          <t>未开始</t>
        </is>
      </c>
      <c r="L75" s="27" t="inlineStr">
        <is>
          <t>【目标】重构Forked Agent记忆提取，优化stash队列性能，添加提取质量评估。
【运行命令】npm test -- --grep 'ForkedMemoryExtractor' &amp;&amp; npm run lint
【源文件路径】src/harness/memory/forkedMemoryExtractor.ts</t>
        </is>
      </c>
      <c r="M75" s="26" t="inlineStr">
        <is>
          <t>重构完成，测试和lint通过</t>
        </is>
      </c>
      <c r="N75" s="26" t="inlineStr"/>
    </row>
    <row r="76">
      <c r="A76" s="22" t="inlineStr">
        <is>
          <t>V25-MMH-010</t>
        </is>
      </c>
      <c r="B76" s="22" t="inlineStr">
        <is>
          <t>自动记忆提取Forked Agent - 验收</t>
        </is>
      </c>
      <c r="C76" s="22" t="inlineStr">
        <is>
          <t>Acceptance验收</t>
        </is>
      </c>
      <c r="D76" s="22" t="inlineStr">
        <is>
          <t>Memory Harness</t>
        </is>
      </c>
      <c r="E76" s="28" t="inlineStr">
        <is>
          <t>P1</t>
        </is>
      </c>
      <c r="F76" s="22" t="inlineStr">
        <is>
          <t>AI工程师</t>
        </is>
      </c>
      <c r="G76" s="22" t="n">
        <v>2</v>
      </c>
      <c r="H76" s="22" t="inlineStr">
        <is>
          <t>2026-W33</t>
        </is>
      </c>
      <c r="I76" s="22" t="inlineStr">
        <is>
          <t>2026-W34</t>
        </is>
      </c>
      <c r="J76" s="22" t="inlineStr">
        <is>
          <t>V25-MMH-009</t>
        </is>
      </c>
      <c r="K76" s="24" t="inlineStr">
        <is>
          <t>未开始</t>
        </is>
      </c>
      <c r="L76" s="25" t="inlineStr">
        <is>
          <t>【目标】验收Forked Agent记忆提取。
【运行命令】npm test -- --grep 'ForkedMemoryExtractor'
【验收检查项】1. 互斥写入正确 2. stash队列正常 3. 5回合限制有效 4. 工具沙箱安全 5. 提取质量可接受</t>
        </is>
      </c>
      <c r="M76" s="22" t="inlineStr">
        <is>
          <t>Forked Agent记忆提取验收通过</t>
        </is>
      </c>
      <c r="N76" s="22" t="inlineStr"/>
    </row>
    <row r="77">
      <c r="A77" s="26" t="inlineStr">
        <is>
          <t>V25-MMH-011</t>
        </is>
      </c>
      <c r="B77" s="26" t="inlineStr">
        <is>
          <t>记忆路径安全 - 测试</t>
        </is>
      </c>
      <c r="C77" s="26" t="inlineStr">
        <is>
          <t>Red测试</t>
        </is>
      </c>
      <c r="D77" s="26" t="inlineStr">
        <is>
          <t>Memory Harness</t>
        </is>
      </c>
      <c r="E77" s="28" t="inlineStr">
        <is>
          <t>P1</t>
        </is>
      </c>
      <c r="F77" s="26" t="inlineStr">
        <is>
          <t>安全工程师</t>
        </is>
      </c>
      <c r="G77" s="26" t="n">
        <v>2</v>
      </c>
      <c r="H77" s="26" t="inlineStr">
        <is>
          <t>2026-W33</t>
        </is>
      </c>
      <c r="I77" s="26" t="inlineStr">
        <is>
          <t>2026-W34</t>
        </is>
      </c>
      <c r="J77" s="26" t="inlineStr"/>
      <c r="K77" s="24" t="inlineStr">
        <is>
          <t>未开始</t>
        </is>
      </c>
      <c r="L77" s="27" t="inlineStr">
        <is>
          <t>【目标】测试记忆路径安全：排除项目设置目录（.dreamweaver/settings.json），防止恶意项目设置autoMemoryDirectory指向敏感目录（如~/.ssh）获得静默写入权限。借鉴Claude Code：projectSettings被故意排除。
【运行命令】npm test -- --grep 'MemoryPathSecurity'
【测试文件路径】src/harness/memory/__tests__/memoryPathSecurity.test.ts
【测试用例清单】1. 记忆目录在项目内→允许 2. 记忆目录指向~/.ssh→拒绝 3. 记忆目录指向/etc→拒绝 4. 路径遍历攻击被阻止 5. 符号链接攻击被阻止</t>
        </is>
      </c>
      <c r="M77" s="26" t="inlineStr">
        <is>
          <t>记忆路径安全验证通过</t>
        </is>
      </c>
      <c r="N77" s="26" t="inlineStr">
        <is>
          <t>借鉴Claude Code：防止恶意仓库获取敏感目录写入</t>
        </is>
      </c>
    </row>
    <row r="78">
      <c r="A78" s="22" t="inlineStr">
        <is>
          <t>V25-MMH-012</t>
        </is>
      </c>
      <c r="B78" s="22" t="inlineStr">
        <is>
          <t>记忆路径安全 - 实现</t>
        </is>
      </c>
      <c r="C78" s="22" t="inlineStr">
        <is>
          <t>Green实现</t>
        </is>
      </c>
      <c r="D78" s="22" t="inlineStr">
        <is>
          <t>Memory Harness</t>
        </is>
      </c>
      <c r="E78" s="28" t="inlineStr">
        <is>
          <t>P1</t>
        </is>
      </c>
      <c r="F78" s="22" t="inlineStr">
        <is>
          <t>安全工程师</t>
        </is>
      </c>
      <c r="G78" s="22" t="n">
        <v>2</v>
      </c>
      <c r="H78" s="22" t="inlineStr">
        <is>
          <t>2026-W33</t>
        </is>
      </c>
      <c r="I78" s="22" t="inlineStr">
        <is>
          <t>2026-W34</t>
        </is>
      </c>
      <c r="J78" s="22" t="inlineStr">
        <is>
          <t>V25-MMH-011</t>
        </is>
      </c>
      <c r="K78" s="24" t="inlineStr">
        <is>
          <t>未开始</t>
        </is>
      </c>
      <c r="L78" s="25" t="inlineStr">
        <is>
          <t>【目标】实现记忆路径安全检查：创建MemoryPathValidator类，验证记忆目录路径。排除项目设置目录，阻止路径遍历和符号链接攻击。
【运行命令】npm test -- --grep 'MemoryPathSecurity'
【实现步骤】1. 创建src/harness/memory/memoryPathSecurity.ts 2. 实现路径验证 3. 实现路径遍历检测 4. 集成到Memory Harness
【源文件路径】src/harness/memory/memoryPathSecurity.ts
【测试文件路径】src/harness/memory/__tests__/memoryPathSecurity.test.ts</t>
        </is>
      </c>
      <c r="M78" s="22" t="inlineStr">
        <is>
          <t>记忆路径安全正确实现</t>
        </is>
      </c>
      <c r="N78" s="22" t="inlineStr"/>
    </row>
    <row r="79">
      <c r="A79" s="26" t="inlineStr">
        <is>
          <t>V25-MMH-013</t>
        </is>
      </c>
      <c r="B79" s="26" t="inlineStr">
        <is>
          <t>记忆路径安全 - 验收</t>
        </is>
      </c>
      <c r="C79" s="26" t="inlineStr">
        <is>
          <t>Acceptance验收</t>
        </is>
      </c>
      <c r="D79" s="26" t="inlineStr">
        <is>
          <t>Memory Harness</t>
        </is>
      </c>
      <c r="E79" s="28" t="inlineStr">
        <is>
          <t>P1</t>
        </is>
      </c>
      <c r="F79" s="26" t="inlineStr">
        <is>
          <t>安全工程师</t>
        </is>
      </c>
      <c r="G79" s="26" t="n">
        <v>2</v>
      </c>
      <c r="H79" s="26" t="inlineStr">
        <is>
          <t>2026-W34</t>
        </is>
      </c>
      <c r="I79" s="26" t="inlineStr">
        <is>
          <t>2026-W35</t>
        </is>
      </c>
      <c r="J79" s="26" t="inlineStr">
        <is>
          <t>V25-MMH-012</t>
        </is>
      </c>
      <c r="K79" s="24" t="inlineStr">
        <is>
          <t>未开始</t>
        </is>
      </c>
      <c r="L79" s="27" t="inlineStr">
        <is>
          <t>【目标】验收记忆路径安全。
【运行命令】npm test -- --grep 'MemoryPathSecurity'
【验收检查项】1. 敏感目录被阻止 2. 路径遍历被阻止 3. 符号链接被阻止 4. 安全审计通过</t>
        </is>
      </c>
      <c r="M79" s="26" t="inlineStr">
        <is>
          <t>记忆路径安全验收通过</t>
        </is>
      </c>
      <c r="N79" s="26" t="inlineStr"/>
    </row>
    <row r="80">
      <c r="A80" s="22" t="inlineStr">
        <is>
          <t>V25-CLH-001</t>
        </is>
      </c>
      <c r="B80" s="22" t="inlineStr">
        <is>
          <t>协调器最小权限 - 测试</t>
        </is>
      </c>
      <c r="C80" s="22" t="inlineStr">
        <is>
          <t>Red测试</t>
        </is>
      </c>
      <c r="D80" s="22" t="inlineStr">
        <is>
          <t>Collaboration Harness</t>
        </is>
      </c>
      <c r="E80" s="28" t="inlineStr">
        <is>
          <t>P1</t>
        </is>
      </c>
      <c r="F80" s="22" t="inlineStr">
        <is>
          <t>AI工程师</t>
        </is>
      </c>
      <c r="G80" s="22" t="n">
        <v>3</v>
      </c>
      <c r="H80" s="22" t="inlineStr">
        <is>
          <t>2026-W34</t>
        </is>
      </c>
      <c r="I80" s="22" t="inlineStr">
        <is>
          <t>2026-W35</t>
        </is>
      </c>
      <c r="J80" s="22" t="inlineStr"/>
      <c r="K80" s="24" t="inlineStr">
        <is>
          <t>未开始</t>
        </is>
      </c>
      <c r="L80" s="25" t="inlineStr">
        <is>
          <t>【目标】测试协调器只保留4个工具（TeamCreate、TeamDelete、SendMessage、SyntheticOutput），不能直接执行文件操作（Read/Write/Edit/Bash被禁止）。验证协调器核心职责是任务分配和结果汇总。
【运行命令】npm test -- --grep 'CoordinatorPermission'
【测试文件路径】src/harness/collaboration/__tests__/coordinatorPermission.test.ts
【测试用例清单】1. 协调器可使用TeamCreate 2. 协调器可使用TeamDelete 3. 协调器可使用SendMessage 4. 协调器可使用SyntheticOutput 5. 协调器不能使用Read/Write/Edit/Bash</t>
        </is>
      </c>
      <c r="M80" s="22" t="inlineStr">
        <is>
          <t>协调器最小权限正确</t>
        </is>
      </c>
      <c r="N80" s="22" t="inlineStr"/>
    </row>
    <row r="81">
      <c r="A81" s="26" t="inlineStr">
        <is>
          <t>V25-CLH-002</t>
        </is>
      </c>
      <c r="B81" s="26" t="inlineStr">
        <is>
          <t>协调器最小权限 - 实现</t>
        </is>
      </c>
      <c r="C81" s="26" t="inlineStr">
        <is>
          <t>Green实现</t>
        </is>
      </c>
      <c r="D81" s="26" t="inlineStr">
        <is>
          <t>Collaboration Harness</t>
        </is>
      </c>
      <c r="E81" s="28" t="inlineStr">
        <is>
          <t>P1</t>
        </is>
      </c>
      <c r="F81" s="26" t="inlineStr">
        <is>
          <t>AI工程师</t>
        </is>
      </c>
      <c r="G81" s="26" t="n">
        <v>4</v>
      </c>
      <c r="H81" s="26" t="inlineStr">
        <is>
          <t>2026-W34</t>
        </is>
      </c>
      <c r="I81" s="26" t="inlineStr">
        <is>
          <t>2026-W35</t>
        </is>
      </c>
      <c r="J81" s="26" t="inlineStr">
        <is>
          <t>V25-CLH-001</t>
        </is>
      </c>
      <c r="K81" s="24" t="inlineStr">
        <is>
          <t>未开始</t>
        </is>
      </c>
      <c r="L81" s="27" t="inlineStr">
        <is>
          <t>【目标】实现协调器最小权限：定义COORDINATOR_ALLOWED_TOOLS集合（TeamCreate、TeamDelete、SendMessage、SyntheticOutput），在协调器模式下过滤工具列表。
【运行命令】npm test -- --grep 'CoordinatorPermission'
【实现步骤】1. 创建src/harness/collaboration/coordinatorPermission.ts 2. 定义允许工具集合 3. 实现工具过滤逻辑 4. 集成到协调器模式
【源文件路径】src/harness/collaboration/coordinatorPermission.ts
【测试文件路径】src/harness/collaboration/__tests__/coordinatorPermission.test.ts</t>
        </is>
      </c>
      <c r="M81" s="26" t="inlineStr">
        <is>
          <t>协调器最小权限正确实现</t>
        </is>
      </c>
      <c r="N81" s="26" t="inlineStr"/>
    </row>
    <row r="82">
      <c r="A82" s="22" t="inlineStr">
        <is>
          <t>V25-CLH-003</t>
        </is>
      </c>
      <c r="B82" s="22" t="inlineStr">
        <is>
          <t>协调器最小权限 - 验收</t>
        </is>
      </c>
      <c r="C82" s="22" t="inlineStr">
        <is>
          <t>Acceptance验收</t>
        </is>
      </c>
      <c r="D82" s="22" t="inlineStr">
        <is>
          <t>Collaboration Harness</t>
        </is>
      </c>
      <c r="E82" s="28" t="inlineStr">
        <is>
          <t>P1</t>
        </is>
      </c>
      <c r="F82" s="22" t="inlineStr">
        <is>
          <t>AI工程师</t>
        </is>
      </c>
      <c r="G82" s="22" t="n">
        <v>2</v>
      </c>
      <c r="H82" s="22" t="inlineStr">
        <is>
          <t>2026-W34</t>
        </is>
      </c>
      <c r="I82" s="22" t="inlineStr">
        <is>
          <t>2026-W35</t>
        </is>
      </c>
      <c r="J82" s="22" t="inlineStr">
        <is>
          <t>V25-CLH-002</t>
        </is>
      </c>
      <c r="K82" s="24" t="inlineStr">
        <is>
          <t>未开始</t>
        </is>
      </c>
      <c r="L82" s="25" t="inlineStr">
        <is>
          <t>【目标】验收协调器最小权限。
【运行命令】npm test -- --grep 'CoordinatorPermission'
【验收检查项】1. 只有4个工具可用 2. 文件操作工具被禁止 3. 权限过滤不影响普通代理</t>
        </is>
      </c>
      <c r="M82" s="22" t="inlineStr">
        <is>
          <t>协调器最小权限验收通过</t>
        </is>
      </c>
      <c r="N82" s="22" t="inlineStr"/>
    </row>
    <row r="83">
      <c r="A83" s="26" t="inlineStr">
        <is>
          <t>V25-CLH-004</t>
        </is>
      </c>
      <c r="B83" s="26" t="inlineStr">
        <is>
          <t>三层权限过滤 - 测试</t>
        </is>
      </c>
      <c r="C83" s="26" t="inlineStr">
        <is>
          <t>Red测试</t>
        </is>
      </c>
      <c r="D83" s="26" t="inlineStr">
        <is>
          <t>Collaboration Harness</t>
        </is>
      </c>
      <c r="E83" s="28" t="inlineStr">
        <is>
          <t>P1</t>
        </is>
      </c>
      <c r="F83" s="26" t="inlineStr">
        <is>
          <t>AI工程师</t>
        </is>
      </c>
      <c r="G83" s="26" t="n">
        <v>3</v>
      </c>
      <c r="H83" s="26" t="inlineStr">
        <is>
          <t>2026-W34</t>
        </is>
      </c>
      <c r="I83" s="26" t="inlineStr">
        <is>
          <t>2026-W35</t>
        </is>
      </c>
      <c r="J83" s="26" t="inlineStr"/>
      <c r="K83" s="24" t="inlineStr">
        <is>
          <t>未开始</t>
        </is>
      </c>
      <c r="L83" s="27" t="inlineStr">
        <is>
          <t>【目标】测试三层权限过滤：第一层ALL_AGENT_DISALLOWED_TOOLS（TaskOutput、ExitPlanMode、AskUserQuestion、TaskStop、AgentTool），第二层ASYNC_AGENT_ALLOWED_TOOLS白名单，第三层COORDINATOR_MODE_ALLOWED_TOOLS。Plan mode优先级高于bypass permissions。
【运行命令】npm test -- --grep 'ThreeLayerPermission'
【测试文件路径】src/harness/collaboration/__tests__/threeLayerPermission.test.ts
【测试用例清单】1. 所有代理禁止TaskOutput 2. 异步代理白名单正确 3. 协调器工具列表正确 4. Plan mode优先级高于bypass 5. 子代理不继承父会话的--dangerously-skip-permissions</t>
        </is>
      </c>
      <c r="M83" s="26" t="inlineStr">
        <is>
          <t>三层权限过滤正确工作</t>
        </is>
      </c>
      <c r="N83" s="26" t="inlineStr"/>
    </row>
    <row r="84">
      <c r="A84" s="22" t="inlineStr">
        <is>
          <t>V25-CLH-005</t>
        </is>
      </c>
      <c r="B84" s="22" t="inlineStr">
        <is>
          <t>三层权限过滤 - 实现</t>
        </is>
      </c>
      <c r="C84" s="22" t="inlineStr">
        <is>
          <t>Green实现</t>
        </is>
      </c>
      <c r="D84" s="22" t="inlineStr">
        <is>
          <t>Collaboration Harness</t>
        </is>
      </c>
      <c r="E84" s="28" t="inlineStr">
        <is>
          <t>P1</t>
        </is>
      </c>
      <c r="F84" s="22" t="inlineStr">
        <is>
          <t>AI工程师</t>
        </is>
      </c>
      <c r="G84" s="22" t="n">
        <v>5</v>
      </c>
      <c r="H84" s="22" t="inlineStr">
        <is>
          <t>2026-W35</t>
        </is>
      </c>
      <c r="I84" s="22" t="inlineStr">
        <is>
          <t>2026-W36</t>
        </is>
      </c>
      <c r="J84" s="22" t="inlineStr">
        <is>
          <t>V25-CLH-004</t>
        </is>
      </c>
      <c r="K84" s="24" t="inlineStr">
        <is>
          <t>未开始</t>
        </is>
      </c>
      <c r="L84" s="25" t="inlineStr">
        <is>
          <t>【目标】实现三层权限过滤：创建ThreeLayerPermissionFilter类，按层级过滤工具列表。第一层全局禁止，第二层异步代理白名单，第三层协调器模式。
【运行命令】npm test -- --grep 'ThreeLayerPermission'
【实现步骤】1. 创建src/harness/collaboration/threeLayerPermission.ts 2. 定义三层过滤规则 3. 实现filterTools()方法 4. 集成到代理系统
【源文件路径】src/harness/collaboration/threeLayerPermission.ts
【测试文件路径】src/harness/collaboration/__tests__/threeLayerPermission.test.ts</t>
        </is>
      </c>
      <c r="M84" s="22" t="inlineStr">
        <is>
          <t>三层权限过滤正确实现</t>
        </is>
      </c>
      <c r="N84" s="22" t="inlineStr"/>
    </row>
    <row r="85">
      <c r="A85" s="26" t="inlineStr">
        <is>
          <t>V25-CLH-006</t>
        </is>
      </c>
      <c r="B85" s="26" t="inlineStr">
        <is>
          <t>三层权限过滤 - 验收</t>
        </is>
      </c>
      <c r="C85" s="26" t="inlineStr">
        <is>
          <t>Acceptance验收</t>
        </is>
      </c>
      <c r="D85" s="26" t="inlineStr">
        <is>
          <t>Collaboration Harness</t>
        </is>
      </c>
      <c r="E85" s="28" t="inlineStr">
        <is>
          <t>P1</t>
        </is>
      </c>
      <c r="F85" s="26" t="inlineStr">
        <is>
          <t>AI工程师</t>
        </is>
      </c>
      <c r="G85" s="26" t="n">
        <v>2</v>
      </c>
      <c r="H85" s="26" t="inlineStr">
        <is>
          <t>2026-W35</t>
        </is>
      </c>
      <c r="I85" s="26" t="inlineStr">
        <is>
          <t>2026-W36</t>
        </is>
      </c>
      <c r="J85" s="26" t="inlineStr">
        <is>
          <t>V25-CLH-005</t>
        </is>
      </c>
      <c r="K85" s="24" t="inlineStr">
        <is>
          <t>未开始</t>
        </is>
      </c>
      <c r="L85" s="27" t="inlineStr">
        <is>
          <t>【目标】验收三层权限过滤。
【运行命令】npm test -- --grep 'ThreeLayerPermission'
【验收检查项】1. 三层过滤正确 2. Plan mode优先级正确 3. 权限隔离完整</t>
        </is>
      </c>
      <c r="M85" s="26" t="inlineStr">
        <is>
          <t>三层权限过滤验收通过</t>
        </is>
      </c>
      <c r="N85" s="26" t="inlineStr"/>
    </row>
    <row r="86">
      <c r="A86" s="22" t="inlineStr">
        <is>
          <t>V25-CLH-007</t>
        </is>
      </c>
      <c r="B86" s="22" t="inlineStr">
        <is>
          <t>FlushGate消息顺序保证 - 测试</t>
        </is>
      </c>
      <c r="C86" s="22" t="inlineStr">
        <is>
          <t>Red测试</t>
        </is>
      </c>
      <c r="D86" s="22" t="inlineStr">
        <is>
          <t>Collaboration Harness</t>
        </is>
      </c>
      <c r="E86" s="28" t="inlineStr">
        <is>
          <t>P1</t>
        </is>
      </c>
      <c r="F86" s="22" t="inlineStr">
        <is>
          <t>后端</t>
        </is>
      </c>
      <c r="G86" s="22" t="n">
        <v>3</v>
      </c>
      <c r="H86" s="22" t="inlineStr">
        <is>
          <t>2026-W35</t>
        </is>
      </c>
      <c r="I86" s="22" t="inlineStr">
        <is>
          <t>2026-W36</t>
        </is>
      </c>
      <c r="J86" s="22" t="inlineStr"/>
      <c r="K86" s="24" t="inlineStr">
        <is>
          <t>未开始</t>
        </is>
      </c>
      <c r="L86" s="25" t="inlineStr">
        <is>
          <t>【目标】测试FlushGate消息顺序保证：初始历史flush期间实时消息必须排队等待，确保服务器按[history..., live...]顺序接收。Transport重建期间也启动FlushGate防止消息在旧epoch上静默丢失。
【运行命令】npm test -- --grep 'FlushGate'
【测试文件路径】src/harness/collaboration/__tests__/flushGate.test.ts
【测试用例清单】1. flush期间新消息排队 2. flush完成后排队消息按序发送 3. Transport重建启动FlushGate 4. 多个flush不互相干扰 5. 超时后安全释放</t>
        </is>
      </c>
      <c r="M86" s="22" t="inlineStr">
        <is>
          <t>FlushGate消息顺序保证正确</t>
        </is>
      </c>
      <c r="N86" s="22" t="inlineStr"/>
    </row>
    <row r="87">
      <c r="A87" s="26" t="inlineStr">
        <is>
          <t>V25-CLH-008</t>
        </is>
      </c>
      <c r="B87" s="26" t="inlineStr">
        <is>
          <t>FlushGate消息顺序保证 - 实现</t>
        </is>
      </c>
      <c r="C87" s="26" t="inlineStr">
        <is>
          <t>Green实现</t>
        </is>
      </c>
      <c r="D87" s="26" t="inlineStr">
        <is>
          <t>Collaboration Harness</t>
        </is>
      </c>
      <c r="E87" s="28" t="inlineStr">
        <is>
          <t>P1</t>
        </is>
      </c>
      <c r="F87" s="26" t="inlineStr">
        <is>
          <t>后端</t>
        </is>
      </c>
      <c r="G87" s="26" t="n">
        <v>4</v>
      </c>
      <c r="H87" s="26" t="inlineStr">
        <is>
          <t>2026-W35</t>
        </is>
      </c>
      <c r="I87" s="26" t="inlineStr">
        <is>
          <t>2026-W36</t>
        </is>
      </c>
      <c r="J87" s="26" t="inlineStr">
        <is>
          <t>V25-CLH-007</t>
        </is>
      </c>
      <c r="K87" s="24" t="inlineStr">
        <is>
          <t>未开始</t>
        </is>
      </c>
      <c r="L87" s="27" t="inlineStr">
        <is>
          <t>【目标】实现FlushGate：创建FlushGate类，提供acquire()/release()方法。acquire()期间所有消息进入等待队列，release()后按FIFO顺序发送。
【运行命令】npm test -- --grep 'FlushGate'
【实现步骤】1. 创建src/harness/collaboration/flushGate.ts 2. 实现FlushGate类 3. 实现消息排队和有序释放 4. 集成到WebSocket连接管理
【源文件路径】src/harness/collaboration/flushGate.ts
【测试文件路径】src/harness/collaboration/__tests__/flushGate.test.ts</t>
        </is>
      </c>
      <c r="M87" s="26" t="inlineStr">
        <is>
          <t>FlushGate正确实现</t>
        </is>
      </c>
      <c r="N87" s="26" t="inlineStr"/>
    </row>
    <row r="88">
      <c r="A88" s="22" t="inlineStr">
        <is>
          <t>V25-CLH-009</t>
        </is>
      </c>
      <c r="B88" s="22" t="inlineStr">
        <is>
          <t>FlushGate消息顺序保证 - 验收</t>
        </is>
      </c>
      <c r="C88" s="22" t="inlineStr">
        <is>
          <t>Acceptance验收</t>
        </is>
      </c>
      <c r="D88" s="22" t="inlineStr">
        <is>
          <t>Collaboration Harness</t>
        </is>
      </c>
      <c r="E88" s="28" t="inlineStr">
        <is>
          <t>P1</t>
        </is>
      </c>
      <c r="F88" s="22" t="inlineStr">
        <is>
          <t>后端</t>
        </is>
      </c>
      <c r="G88" s="22" t="n">
        <v>2</v>
      </c>
      <c r="H88" s="22" t="inlineStr">
        <is>
          <t>2026-W36</t>
        </is>
      </c>
      <c r="I88" s="22" t="inlineStr">
        <is>
          <t>2026-W37</t>
        </is>
      </c>
      <c r="J88" s="22" t="inlineStr">
        <is>
          <t>V25-CLH-008</t>
        </is>
      </c>
      <c r="K88" s="24" t="inlineStr">
        <is>
          <t>未开始</t>
        </is>
      </c>
      <c r="L88" s="25" t="inlineStr">
        <is>
          <t>【目标】验收FlushGate。
【运行命令】npm test -- --grep 'FlushGate'
【验收检查项】1. 消息顺序保证 2. flush期间无消息丢失 3. Transport重建安全 4. 性能可接受</t>
        </is>
      </c>
      <c r="M88" s="22" t="inlineStr">
        <is>
          <t>FlushGate验收通过</t>
        </is>
      </c>
      <c r="N88" s="22" t="inlineStr"/>
    </row>
    <row r="89">
      <c r="A89" s="26" t="inlineStr">
        <is>
          <t>V25-CLH-010</t>
        </is>
      </c>
      <c r="B89" s="26" t="inlineStr">
        <is>
          <t>QueryGuard串行执行 - 测试</t>
        </is>
      </c>
      <c r="C89" s="26" t="inlineStr">
        <is>
          <t>Red测试</t>
        </is>
      </c>
      <c r="D89" s="26" t="inlineStr">
        <is>
          <t>Collaboration Harness</t>
        </is>
      </c>
      <c r="E89" s="28" t="inlineStr">
        <is>
          <t>P1</t>
        </is>
      </c>
      <c r="F89" s="26" t="inlineStr">
        <is>
          <t>后端</t>
        </is>
      </c>
      <c r="G89" s="26" t="n">
        <v>3</v>
      </c>
      <c r="H89" s="26" t="inlineStr">
        <is>
          <t>2026-W36</t>
        </is>
      </c>
      <c r="I89" s="26" t="inlineStr">
        <is>
          <t>2026-W37</t>
        </is>
      </c>
      <c r="J89" s="26" t="inlineStr"/>
      <c r="K89" s="24" t="inlineStr">
        <is>
          <t>未开始</t>
        </is>
      </c>
      <c r="L89" s="27" t="inlineStr">
        <is>
          <t>【目标】测试QueryGuard三态状态机：idle→dispatching→running。Generation计数器解决异步取消竞态——被取消查询的finally块中end()调用因generation不匹配而被忽略。reserve()→tryStart()→end()流程。
【运行命令】npm test -- --grep 'QueryGuard'
【测试文件路径】src/harness/collaboration/__tests__/queryGuard.test.ts
【测试用例清单】1. idle→dispatching→running状态转换 2. reserve()在非idle时返回false 3. tryStart()返回generation 4. end(generation)匹配时→idle 5. end(generation)不匹配时→忽略 6. 并发reserve()只有一个成功</t>
        </is>
      </c>
      <c r="M89" s="26" t="inlineStr">
        <is>
          <t>QueryGuard串行执行正确</t>
        </is>
      </c>
      <c r="N89" s="26" t="inlineStr">
        <is>
          <t>借鉴Claude Code：异步取消竞态防护</t>
        </is>
      </c>
    </row>
    <row r="90">
      <c r="A90" s="22" t="inlineStr">
        <is>
          <t>V25-CLH-011</t>
        </is>
      </c>
      <c r="B90" s="22" t="inlineStr">
        <is>
          <t>QueryGuard串行执行 - 实现</t>
        </is>
      </c>
      <c r="C90" s="22" t="inlineStr">
        <is>
          <t>Green实现</t>
        </is>
      </c>
      <c r="D90" s="22" t="inlineStr">
        <is>
          <t>Collaboration Harness</t>
        </is>
      </c>
      <c r="E90" s="28" t="inlineStr">
        <is>
          <t>P1</t>
        </is>
      </c>
      <c r="F90" s="22" t="inlineStr">
        <is>
          <t>后端</t>
        </is>
      </c>
      <c r="G90" s="22" t="n">
        <v>4</v>
      </c>
      <c r="H90" s="22" t="inlineStr">
        <is>
          <t>2026-W36</t>
        </is>
      </c>
      <c r="I90" s="22" t="inlineStr">
        <is>
          <t>2026-W37</t>
        </is>
      </c>
      <c r="J90" s="22" t="inlineStr">
        <is>
          <t>V25-CLH-010</t>
        </is>
      </c>
      <c r="K90" s="24" t="inlineStr">
        <is>
          <t>未开始</t>
        </is>
      </c>
      <c r="L90" s="25" t="inlineStr">
        <is>
          <t>【目标】实现QueryGuard：创建QueryGuard类，维护_status和_generation。reserve()从idle→dispatching，tryStart()从dispatching→running并返回generation，end(generation)从running→idle（generation不匹配则忽略）。
【运行命令】npm test -- --grep 'QueryGuard'
【实现步骤】1. 创建src/harness/collaboration/queryGuard.ts 2. 实现三态状态机 3. 实现Generation计数器 4. 集成到REPL循环
【源文件路径】src/harness/collaboration/queryGuard.ts
【测试文件路径】src/harness/collaboration/__tests__/queryGuard.test.ts</t>
        </is>
      </c>
      <c r="M90" s="22" t="inlineStr">
        <is>
          <t>QueryGuard正确实现</t>
        </is>
      </c>
      <c r="N90" s="22" t="inlineStr"/>
    </row>
    <row r="91">
      <c r="A91" s="26" t="inlineStr">
        <is>
          <t>V25-CLH-012</t>
        </is>
      </c>
      <c r="B91" s="26" t="inlineStr">
        <is>
          <t>QueryGuard串行执行 - 验收</t>
        </is>
      </c>
      <c r="C91" s="26" t="inlineStr">
        <is>
          <t>Acceptance验收</t>
        </is>
      </c>
      <c r="D91" s="26" t="inlineStr">
        <is>
          <t>Collaboration Harness</t>
        </is>
      </c>
      <c r="E91" s="28" t="inlineStr">
        <is>
          <t>P1</t>
        </is>
      </c>
      <c r="F91" s="26" t="inlineStr">
        <is>
          <t>后端</t>
        </is>
      </c>
      <c r="G91" s="26" t="n">
        <v>2</v>
      </c>
      <c r="H91" s="26" t="inlineStr">
        <is>
          <t>2026-W36</t>
        </is>
      </c>
      <c r="I91" s="26" t="inlineStr">
        <is>
          <t>2026-W37</t>
        </is>
      </c>
      <c r="J91" s="26" t="inlineStr">
        <is>
          <t>V25-CLH-011</t>
        </is>
      </c>
      <c r="K91" s="24" t="inlineStr">
        <is>
          <t>未开始</t>
        </is>
      </c>
      <c r="L91" s="27" t="inlineStr">
        <is>
          <t>【目标】验收QueryGuard。
【运行命令】npm test -- --grep 'QueryGuard'
【验收检查项】1. 状态机转换正确 2. Generation竞态安全 3. 串行执行保证 4. 取消操作安全</t>
        </is>
      </c>
      <c r="M91" s="26" t="inlineStr">
        <is>
          <t>QueryGuard验收通过</t>
        </is>
      </c>
      <c r="N91" s="26" t="inlineStr"/>
    </row>
    <row r="92">
      <c r="A92" s="22" t="inlineStr">
        <is>
          <t>V25-CLH-013</t>
        </is>
      </c>
      <c r="B92" s="22" t="inlineStr">
        <is>
          <t>非对称持久化 - 测试</t>
        </is>
      </c>
      <c r="C92" s="22" t="inlineStr">
        <is>
          <t>Red测试</t>
        </is>
      </c>
      <c r="D92" s="22" t="inlineStr">
        <is>
          <t>Collaboration Harness</t>
        </is>
      </c>
      <c r="E92" s="28" t="inlineStr">
        <is>
          <t>P1</t>
        </is>
      </c>
      <c r="F92" s="22" t="inlineStr">
        <is>
          <t>后端</t>
        </is>
      </c>
      <c r="G92" s="22" t="n">
        <v>2</v>
      </c>
      <c r="H92" s="22" t="inlineStr">
        <is>
          <t>2026-W36</t>
        </is>
      </c>
      <c r="I92" s="22" t="inlineStr">
        <is>
          <t>2026-W37</t>
        </is>
      </c>
      <c r="J92" s="22" t="inlineStr"/>
      <c r="K92" s="24" t="inlineStr">
        <is>
          <t>未开始</t>
        </is>
      </c>
      <c r="L92" s="25" t="inlineStr">
        <is>
          <t>【目标】测试非对称持久化：用户消息同步写入（await）确保可恢复，AI生成异步写入（fire-and-forget）不阻塞响应。借鉴Claude Code事故：进程在用户按回车和API响应之间被杀死导致会话丢失。
【运行命令】npm test -- --grep 'AsymmetricPersistence'
【测试文件路径】src/harness/collaboration/__tests__/asymmetricPersistence.test.ts
【测试用例清单】1. 用户消息同步写入完成后再返回 2. AI消息异步写入不阻塞 3. 进程崩溃后用户消息可恢复 4. AI消息丢失不影响核心功能 5. 异步写入失败有重试</t>
        </is>
      </c>
      <c r="M92" s="22" t="inlineStr">
        <is>
          <t>非对称持久化正确工作</t>
        </is>
      </c>
      <c r="N92" s="22" t="inlineStr">
        <is>
          <t>借鉴Claude Code：进程杀死丢失会话</t>
        </is>
      </c>
    </row>
    <row r="93">
      <c r="A93" s="26" t="inlineStr">
        <is>
          <t>V25-CLH-014</t>
        </is>
      </c>
      <c r="B93" s="26" t="inlineStr">
        <is>
          <t>非对称持久化 - 实现</t>
        </is>
      </c>
      <c r="C93" s="26" t="inlineStr">
        <is>
          <t>Green实现</t>
        </is>
      </c>
      <c r="D93" s="26" t="inlineStr">
        <is>
          <t>Collaboration Harness</t>
        </is>
      </c>
      <c r="E93" s="28" t="inlineStr">
        <is>
          <t>P1</t>
        </is>
      </c>
      <c r="F93" s="26" t="inlineStr">
        <is>
          <t>后端</t>
        </is>
      </c>
      <c r="G93" s="26" t="n">
        <v>3</v>
      </c>
      <c r="H93" s="26" t="inlineStr">
        <is>
          <t>2026-W37</t>
        </is>
      </c>
      <c r="I93" s="26" t="inlineStr">
        <is>
          <t>2026-W38</t>
        </is>
      </c>
      <c r="J93" s="26" t="inlineStr">
        <is>
          <t>V25-CLH-013</t>
        </is>
      </c>
      <c r="K93" s="24" t="inlineStr">
        <is>
          <t>未开始</t>
        </is>
      </c>
      <c r="L93" s="27" t="inlineStr">
        <is>
          <t>【目标】实现非对称持久化：创建AsymmetricPersistenceManager类，用户消息使用await write()同步持久化，AI消息使用fire-and-forget write()异步持久化。
【运行命令】npm test -- --grep 'AsymmetricPersistence'
【实现步骤】1. 创建src/harness/collaboration/asymmetricPersistence.ts 2. 实现syncWrite()方法 3. 实现asyncWrite()方法 4. 添加重试和错误处理 5. 集成到REPL循环
【源文件路径】src/harness/collaboration/asymmetricPersistence.ts
【测试文件路径】src/harness/collaboration/__tests__/asymmetricPersistence.test.ts</t>
        </is>
      </c>
      <c r="M93" s="26" t="inlineStr">
        <is>
          <t>非对称持久化正确实现</t>
        </is>
      </c>
      <c r="N93" s="26" t="inlineStr"/>
    </row>
    <row r="94">
      <c r="A94" s="22" t="inlineStr">
        <is>
          <t>V25-CLH-015</t>
        </is>
      </c>
      <c r="B94" s="22" t="inlineStr">
        <is>
          <t>非对称持久化 - 验收</t>
        </is>
      </c>
      <c r="C94" s="22" t="inlineStr">
        <is>
          <t>Acceptance验收</t>
        </is>
      </c>
      <c r="D94" s="22" t="inlineStr">
        <is>
          <t>Collaboration Harness</t>
        </is>
      </c>
      <c r="E94" s="28" t="inlineStr">
        <is>
          <t>P1</t>
        </is>
      </c>
      <c r="F94" s="22" t="inlineStr">
        <is>
          <t>后端</t>
        </is>
      </c>
      <c r="G94" s="22" t="n">
        <v>2</v>
      </c>
      <c r="H94" s="22" t="inlineStr">
        <is>
          <t>2026-W37</t>
        </is>
      </c>
      <c r="I94" s="22" t="inlineStr">
        <is>
          <t>2026-W38</t>
        </is>
      </c>
      <c r="J94" s="22" t="inlineStr">
        <is>
          <t>V25-CLH-014</t>
        </is>
      </c>
      <c r="K94" s="24" t="inlineStr">
        <is>
          <t>未开始</t>
        </is>
      </c>
      <c r="L94" s="25" t="inlineStr">
        <is>
          <t>【目标】验收非对称持久化。
【运行命令】npm test -- --grep 'AsymmetricPersistence'
【验收检查项】1. 用户消息同步持久化 2. AI消息异步持久化 3. 崩溃恢复用户消息 4. 性能无明显影响</t>
        </is>
      </c>
      <c r="M94" s="22" t="inlineStr">
        <is>
          <t>非对称持久化验收通过</t>
        </is>
      </c>
      <c r="N94" s="22" t="inlineStr"/>
    </row>
    <row r="95">
      <c r="A95" s="26" t="inlineStr">
        <is>
          <t>V25-BLH-001</t>
        </is>
      </c>
      <c r="B95" s="26" t="inlineStr">
        <is>
          <t>四层Feature Gate框架 - 测试</t>
        </is>
      </c>
      <c r="C95" s="26" t="inlineStr">
        <is>
          <t>Red测试</t>
        </is>
      </c>
      <c r="D95" s="26" t="inlineStr">
        <is>
          <t>Build Harness</t>
        </is>
      </c>
      <c r="E95" s="28" t="inlineStr">
        <is>
          <t>P1</t>
        </is>
      </c>
      <c r="F95" s="26" t="inlineStr">
        <is>
          <t>后端</t>
        </is>
      </c>
      <c r="G95" s="26" t="n">
        <v>4</v>
      </c>
      <c r="H95" s="26" t="inlineStr">
        <is>
          <t>2026-W37</t>
        </is>
      </c>
      <c r="I95" s="26" t="inlineStr">
        <is>
          <t>2026-W38</t>
        </is>
      </c>
      <c r="J95" s="26" t="inlineStr"/>
      <c r="K95" s="24" t="inlineStr">
        <is>
          <t>未开始</t>
        </is>
      </c>
      <c r="L95" s="27" t="inlineStr">
        <is>
          <t>【目标】测试四层Feature Gate体系：L1编译时DCE（feature()函数+Bun打包器--define常量折叠）、L2运行时GrowthBook tengu_*特性开关（A/B测试灰度发布）、L3环境变量DISABLE_*覆盖（开发调试紧急禁用）、L4 API Beta Headers（模型能力协商按模型启用功能）。
【运行命令】npm test -- --grep 'FeatureGate'
【测试文件路径】src/harness/build/__tests__/featureGate.test.ts
【测试用例清单】1. L1 feature()返回boolean 2. L2 GrowthBook正确读取 3. L3 DISABLE_*覆盖L2 4. L4 Beta Header正确协商 5. 层级优先级正确(L3&gt;L2&gt;L1)</t>
        </is>
      </c>
      <c r="M95" s="26" t="inlineStr">
        <is>
          <t>四层Feature Gate正确工作</t>
        </is>
      </c>
      <c r="N95" s="26" t="inlineStr"/>
    </row>
    <row r="96">
      <c r="A96" s="22" t="inlineStr">
        <is>
          <t>V25-BLH-002</t>
        </is>
      </c>
      <c r="B96" s="22" t="inlineStr">
        <is>
          <t>四层Feature Gate框架 - 实现</t>
        </is>
      </c>
      <c r="C96" s="22" t="inlineStr">
        <is>
          <t>Green实现</t>
        </is>
      </c>
      <c r="D96" s="22" t="inlineStr">
        <is>
          <t>Build Harness</t>
        </is>
      </c>
      <c r="E96" s="28" t="inlineStr">
        <is>
          <t>P1</t>
        </is>
      </c>
      <c r="F96" s="22" t="inlineStr">
        <is>
          <t>后端</t>
        </is>
      </c>
      <c r="G96" s="22" t="n">
        <v>6</v>
      </c>
      <c r="H96" s="22" t="inlineStr">
        <is>
          <t>2026-W37</t>
        </is>
      </c>
      <c r="I96" s="22" t="inlineStr">
        <is>
          <t>2026-W38</t>
        </is>
      </c>
      <c r="J96" s="22" t="inlineStr">
        <is>
          <t>V25-BLH-001</t>
        </is>
      </c>
      <c r="K96" s="24" t="inlineStr">
        <is>
          <t>未开始</t>
        </is>
      </c>
      <c r="L96" s="25" t="inlineStr">
        <is>
          <t>【目标】实现四层Feature Gate框架：创建FeatureGateManager类，实现feature()函数（L1）、GrowthBook集成（L2）、环境变量读取（L3）、Beta Header协商（L4）。层级优先级：L3&gt;L2&gt;L1。
【运行命令】npm test -- --grep 'FeatureGate'
【实现步骤】1. 创建src/harness/build/featureGate.ts 2. 实现feature()函数 3. 集成GrowthBook SDK 4. 实现环境变量覆盖 5. 实现Beta Header协商 6. 创建Bun打包配置
【源文件路径】src/harness/build/featureGate.ts
【测试文件路径】src/harness/build/__tests__/featureGate.test.ts</t>
        </is>
      </c>
      <c r="M96" s="22" t="inlineStr">
        <is>
          <t>四层Feature Gate正确实现</t>
        </is>
      </c>
      <c r="N96" s="22" t="inlineStr"/>
    </row>
    <row r="97">
      <c r="A97" s="26" t="inlineStr">
        <is>
          <t>V25-BLH-003</t>
        </is>
      </c>
      <c r="B97" s="26" t="inlineStr">
        <is>
          <t>四层Feature Gate框架 - 重构</t>
        </is>
      </c>
      <c r="C97" s="26" t="inlineStr">
        <is>
          <t>Refactor重构</t>
        </is>
      </c>
      <c r="D97" s="26" t="inlineStr">
        <is>
          <t>Build Harness</t>
        </is>
      </c>
      <c r="E97" s="28" t="inlineStr">
        <is>
          <t>P1</t>
        </is>
      </c>
      <c r="F97" s="26" t="inlineStr">
        <is>
          <t>后端</t>
        </is>
      </c>
      <c r="G97" s="26" t="n">
        <v>2</v>
      </c>
      <c r="H97" s="26" t="inlineStr">
        <is>
          <t>2026-W38</t>
        </is>
      </c>
      <c r="I97" s="26" t="inlineStr">
        <is>
          <t>2026-W39</t>
        </is>
      </c>
      <c r="J97" s="26" t="inlineStr">
        <is>
          <t>V25-BLH-002</t>
        </is>
      </c>
      <c r="K97" s="24" t="inlineStr">
        <is>
          <t>未开始</t>
        </is>
      </c>
      <c r="L97" s="27" t="inlineStr">
        <is>
          <t>【目标】重构Feature Gate框架，优化层级查找性能，添加Gate状态监控。
【运行命令】npm test -- --grep 'FeatureGate' &amp;&amp; npm run lint
【源文件路径】src/harness/build/featureGate.ts</t>
        </is>
      </c>
      <c r="M97" s="26" t="inlineStr">
        <is>
          <t>重构完成，测试和lint通过</t>
        </is>
      </c>
      <c r="N97" s="26" t="inlineStr"/>
    </row>
    <row r="98">
      <c r="A98" s="22" t="inlineStr">
        <is>
          <t>V25-BLH-004</t>
        </is>
      </c>
      <c r="B98" s="22" t="inlineStr">
        <is>
          <t>四层Feature Gate框架 - 验收</t>
        </is>
      </c>
      <c r="C98" s="22" t="inlineStr">
        <is>
          <t>Acceptance验收</t>
        </is>
      </c>
      <c r="D98" s="22" t="inlineStr">
        <is>
          <t>Build Harness</t>
        </is>
      </c>
      <c r="E98" s="28" t="inlineStr">
        <is>
          <t>P1</t>
        </is>
      </c>
      <c r="F98" s="22" t="inlineStr">
        <is>
          <t>后端</t>
        </is>
      </c>
      <c r="G98" s="22" t="n">
        <v>2</v>
      </c>
      <c r="H98" s="22" t="inlineStr">
        <is>
          <t>2026-W38</t>
        </is>
      </c>
      <c r="I98" s="22" t="inlineStr">
        <is>
          <t>2026-W39</t>
        </is>
      </c>
      <c r="J98" s="22" t="inlineStr">
        <is>
          <t>V25-BLH-003</t>
        </is>
      </c>
      <c r="K98" s="24" t="inlineStr">
        <is>
          <t>未开始</t>
        </is>
      </c>
      <c r="L98" s="25" t="inlineStr">
        <is>
          <t>【目标】验收四层Feature Gate框架。
【运行命令】npm test -- --grep 'FeatureGate'
【验收检查项】1. 四层层级正确 2. 优先级正确 3. DCE在构建时生效 4. 运行时开关可动态切换</t>
        </is>
      </c>
      <c r="M98" s="22" t="inlineStr">
        <is>
          <t>Feature Gate框架验收通过</t>
        </is>
      </c>
      <c r="N98" s="22" t="inlineStr"/>
    </row>
    <row r="99">
      <c r="A99" s="26" t="inlineStr">
        <is>
          <t>V25-BLH-005</t>
        </is>
      </c>
      <c r="B99" s="26" t="inlineStr">
        <is>
          <t>Ant-only DCE - 测试</t>
        </is>
      </c>
      <c r="C99" s="26" t="inlineStr">
        <is>
          <t>Red测试</t>
        </is>
      </c>
      <c r="D99" s="26" t="inlineStr">
        <is>
          <t>Build Harness</t>
        </is>
      </c>
      <c r="E99" s="28" t="inlineStr">
        <is>
          <t>P1</t>
        </is>
      </c>
      <c r="F99" s="26" t="inlineStr">
        <is>
          <t>后端</t>
        </is>
      </c>
      <c r="G99" s="26" t="n">
        <v>2</v>
      </c>
      <c r="H99" s="26" t="inlineStr">
        <is>
          <t>2026-W38</t>
        </is>
      </c>
      <c r="I99" s="26" t="inlineStr">
        <is>
          <t>2026-W39</t>
        </is>
      </c>
      <c r="J99" s="26" t="inlineStr"/>
      <c r="K99" s="24" t="inlineStr">
        <is>
          <t>未开始</t>
        </is>
      </c>
      <c r="L99" s="27" t="inlineStr">
        <is>
          <t>【目标】测试Ant-only DCE：process.env.BUILD_VARIANT==='internal'必须在每个调用点内联，不能提取为const。验证打包器能常量折叠消除分支，防止内部调试信息泄露到外部构建。
【运行命令】npm test -- --grep 'AntOnlyDCE'
【测试文件路径】src/harness/build/__tests__/antOnlyDCE.test.ts
【测试用例清单】1. 内联表达式正确DCE 2. 提取为const时DCE失败 3. 外部构建不包含内部代码 4. Bun打包器常量折叠正确</t>
        </is>
      </c>
      <c r="M99" s="26" t="inlineStr">
        <is>
          <t>Ant-only DCE正确工作</t>
        </is>
      </c>
      <c r="N99" s="26" t="inlineStr"/>
    </row>
    <row r="100">
      <c r="A100" s="22" t="inlineStr">
        <is>
          <t>V25-BLH-006</t>
        </is>
      </c>
      <c r="B100" s="22" t="inlineStr">
        <is>
          <t>Ant-only DCE - 实现</t>
        </is>
      </c>
      <c r="C100" s="22" t="inlineStr">
        <is>
          <t>Green实现</t>
        </is>
      </c>
      <c r="D100" s="22" t="inlineStr">
        <is>
          <t>Build Harness</t>
        </is>
      </c>
      <c r="E100" s="28" t="inlineStr">
        <is>
          <t>P1</t>
        </is>
      </c>
      <c r="F100" s="22" t="inlineStr">
        <is>
          <t>后端</t>
        </is>
      </c>
      <c r="G100" s="22" t="n">
        <v>3</v>
      </c>
      <c r="H100" s="22" t="inlineStr">
        <is>
          <t>2026-W38</t>
        </is>
      </c>
      <c r="I100" s="22" t="inlineStr">
        <is>
          <t>2026-W39</t>
        </is>
      </c>
      <c r="J100" s="22" t="inlineStr">
        <is>
          <t>V25-BLH-005</t>
        </is>
      </c>
      <c r="K100" s="24" t="inlineStr">
        <is>
          <t>未开始</t>
        </is>
      </c>
      <c r="L100" s="25" t="inlineStr">
        <is>
          <t>【目标】实现Ant-only DCE模式：在Bun打包配置中添加--define 'process.env.BUILD_VARIANT="external"'，确保内部功能标记在每个调用点内联。
【运行命令】npm test -- --grep 'AntOnlyDCE'
【实现步骤】1. 更新bun.build.ts配置 2. 添加BUILD_VARIANT define 3. 验证内部代码被DCE 4. 添加构建时检查脚本
【源文件路径】scripts/build.ts
【测试文件路径】src/harness/build/__tests__/antOnlyDCE.test.ts</t>
        </is>
      </c>
      <c r="M100" s="22" t="inlineStr">
        <is>
          <t>Ant-only DCE正确实现</t>
        </is>
      </c>
      <c r="N100" s="22" t="inlineStr"/>
    </row>
    <row r="101">
      <c r="A101" s="26" t="inlineStr">
        <is>
          <t>V25-BLH-007</t>
        </is>
      </c>
      <c r="B101" s="26" t="inlineStr">
        <is>
          <t>Ant-only DCE - 验收</t>
        </is>
      </c>
      <c r="C101" s="26" t="inlineStr">
        <is>
          <t>Acceptance验收</t>
        </is>
      </c>
      <c r="D101" s="26" t="inlineStr">
        <is>
          <t>Build Harness</t>
        </is>
      </c>
      <c r="E101" s="28" t="inlineStr">
        <is>
          <t>P1</t>
        </is>
      </c>
      <c r="F101" s="26" t="inlineStr">
        <is>
          <t>后端</t>
        </is>
      </c>
      <c r="G101" s="26" t="n">
        <v>2</v>
      </c>
      <c r="H101" s="26" t="inlineStr">
        <is>
          <t>2026-W39</t>
        </is>
      </c>
      <c r="I101" s="26" t="inlineStr">
        <is>
          <t>2026-W40</t>
        </is>
      </c>
      <c r="J101" s="26" t="inlineStr">
        <is>
          <t>V25-BLH-006</t>
        </is>
      </c>
      <c r="K101" s="24" t="inlineStr">
        <is>
          <t>未开始</t>
        </is>
      </c>
      <c r="L101" s="27" t="inlineStr">
        <is>
          <t>【目标】验收Ant-only DCE。
【运行命令】npm test -- --grep 'AntOnlyDCE' &amp;&amp; npm run build
【验收检查项】1. 外部构建不包含内部代码 2. 内部构建功能完整 3. 构建产物大小合理</t>
        </is>
      </c>
      <c r="M101" s="26" t="inlineStr">
        <is>
          <t>Ant-only DCE验收通过</t>
        </is>
      </c>
      <c r="N101" s="26" t="inlineStr"/>
    </row>
    <row r="102">
      <c r="A102" s="22" t="inlineStr">
        <is>
          <t>V25-BLH-008</t>
        </is>
      </c>
      <c r="B102" s="22" t="inlineStr">
        <is>
          <t>Attestation同长替换 - 测试</t>
        </is>
      </c>
      <c r="C102" s="22" t="inlineStr">
        <is>
          <t>Red测试</t>
        </is>
      </c>
      <c r="D102" s="22" t="inlineStr">
        <is>
          <t>Build Harness</t>
        </is>
      </c>
      <c r="E102" s="28" t="inlineStr">
        <is>
          <t>P1</t>
        </is>
      </c>
      <c r="F102" s="22" t="inlineStr">
        <is>
          <t>后端</t>
        </is>
      </c>
      <c r="G102" s="22" t="n">
        <v>2</v>
      </c>
      <c r="H102" s="22" t="inlineStr">
        <is>
          <t>2026-W39</t>
        </is>
      </c>
      <c r="I102" s="22" t="inlineStr">
        <is>
          <t>2026-W40</t>
        </is>
      </c>
      <c r="J102" s="22" t="inlineStr"/>
      <c r="K102" s="24" t="inlineStr">
        <is>
          <t>未开始</t>
        </is>
      </c>
      <c r="L102" s="25" t="inlineStr">
        <is>
          <t>【目标】测试Attestation同长替换：使用dwatt=00000占位符（13字节），Bun HTTP栈在序列化后发送前找到并替换零值。Content-Length不变，无需重新分配缓冲区。
【运行命令】npm test -- --grep 'Attestation'
【测试文件路径】src/harness/build/__tests__/attestation.test.ts
【测试用例清单】1. 占位符长度正确(13字节) 2. 替换后Content-Length不变 3. 替换时机正确(序列化后发送前) 4. 缓冲区无需重分配</t>
        </is>
      </c>
      <c r="M102" s="22" t="inlineStr">
        <is>
          <t>Attestation同长替换正确工作</t>
        </is>
      </c>
      <c r="N102" s="22" t="inlineStr"/>
    </row>
    <row r="103">
      <c r="A103" s="26" t="inlineStr">
        <is>
          <t>V25-BLH-009</t>
        </is>
      </c>
      <c r="B103" s="26" t="inlineStr">
        <is>
          <t>Attestation同长替换 - 实现</t>
        </is>
      </c>
      <c r="C103" s="26" t="inlineStr">
        <is>
          <t>Green实现</t>
        </is>
      </c>
      <c r="D103" s="26" t="inlineStr">
        <is>
          <t>Build Harness</t>
        </is>
      </c>
      <c r="E103" s="28" t="inlineStr">
        <is>
          <t>P1</t>
        </is>
      </c>
      <c r="F103" s="26" t="inlineStr">
        <is>
          <t>后端</t>
        </is>
      </c>
      <c r="G103" s="26" t="n">
        <v>3</v>
      </c>
      <c r="H103" s="26" t="inlineStr">
        <is>
          <t>2026-W39</t>
        </is>
      </c>
      <c r="I103" s="26" t="inlineStr">
        <is>
          <t>2026-W40</t>
        </is>
      </c>
      <c r="J103" s="26" t="inlineStr">
        <is>
          <t>V25-BLH-008</t>
        </is>
      </c>
      <c r="K103" s="24" t="inlineStr">
        <is>
          <t>未开始</t>
        </is>
      </c>
      <c r="L103" s="27" t="inlineStr">
        <is>
          <t>【目标】实现Attestation同长替换：在HTTP请求构建时插入dwatt=00000占位符，利用Bun原生HTTP栈的序列化后替换能力。
【运行命令】npm test -- --grep 'Attestation'
【实现步骤】1. 创建src/harness/build/attestation.ts 2. 实现占位符插入 3. 配置Bun HTTP栈替换规则 4. 验证Content-Length不变
【源文件路径】src/harness/build/attestation.ts
【测试文件路径】src/harness/build/__tests__/attestation.test.ts</t>
        </is>
      </c>
      <c r="M103" s="26" t="inlineStr">
        <is>
          <t>Attestation同长替换正确实现</t>
        </is>
      </c>
      <c r="N103" s="26" t="inlineStr"/>
    </row>
    <row r="104">
      <c r="A104" s="22" t="inlineStr">
        <is>
          <t>V25-BLH-010</t>
        </is>
      </c>
      <c r="B104" s="22" t="inlineStr">
        <is>
          <t>Attestation同长替换 - 验收</t>
        </is>
      </c>
      <c r="C104" s="22" t="inlineStr">
        <is>
          <t>Acceptance验收</t>
        </is>
      </c>
      <c r="D104" s="22" t="inlineStr">
        <is>
          <t>Build Harness</t>
        </is>
      </c>
      <c r="E104" s="28" t="inlineStr">
        <is>
          <t>P1</t>
        </is>
      </c>
      <c r="F104" s="22" t="inlineStr">
        <is>
          <t>后端</t>
        </is>
      </c>
      <c r="G104" s="22" t="n">
        <v>2</v>
      </c>
      <c r="H104" s="22" t="inlineStr">
        <is>
          <t>2026-W39</t>
        </is>
      </c>
      <c r="I104" s="22" t="inlineStr">
        <is>
          <t>2026-W40</t>
        </is>
      </c>
      <c r="J104" s="22" t="inlineStr">
        <is>
          <t>V25-BLH-009</t>
        </is>
      </c>
      <c r="K104" s="24" t="inlineStr">
        <is>
          <t>未开始</t>
        </is>
      </c>
      <c r="L104" s="25" t="inlineStr">
        <is>
          <t>【目标】验收Attestation同长替换。
【运行命令】npm test -- --grep 'Attestation'
【验收检查项】1. 占位符正确插入 2. 替换后长度不变 3. 性能无明显影响</t>
        </is>
      </c>
      <c r="M104" s="22" t="inlineStr">
        <is>
          <t>Attestation同长替换验收通过</t>
        </is>
      </c>
      <c r="N104" s="22" t="inlineStr"/>
    </row>
    <row r="105">
      <c r="A105" s="26" t="inlineStr">
        <is>
          <t>V25-DB-001</t>
        </is>
      </c>
      <c r="B105" s="26" t="inlineStr">
        <is>
          <t>prompt_cache_entries表 - 测试</t>
        </is>
      </c>
      <c r="C105" s="26" t="inlineStr">
        <is>
          <t>Red测试</t>
        </is>
      </c>
      <c r="D105" s="26" t="inlineStr">
        <is>
          <t>Harness数据表</t>
        </is>
      </c>
      <c r="E105" s="23" t="inlineStr">
        <is>
          <t>P0</t>
        </is>
      </c>
      <c r="F105" s="26" t="inlineStr">
        <is>
          <t>后端</t>
        </is>
      </c>
      <c r="G105" s="26" t="n">
        <v>2</v>
      </c>
      <c r="H105" s="26" t="inlineStr">
        <is>
          <t>2026-W27</t>
        </is>
      </c>
      <c r="I105" s="26" t="inlineStr">
        <is>
          <t>2026-W27</t>
        </is>
      </c>
      <c r="J105" s="26" t="inlineStr"/>
      <c r="K105" s="24" t="inlineStr">
        <is>
          <t>未开始</t>
        </is>
      </c>
      <c r="L105" s="27" t="inlineStr">
        <is>
          <t>【目标】测试prompt_cache_entries表的CRUD操作，验证字段约束和索引。字段：id/project_id/cache_scope/block_type/content_hash(Blake2b)/token_count/hit_count/last_hit_at/created_at。
【运行命令】npm test -- --grep 'prompt_cache_entries'
【测试文件路径】src/harness/db/__tests__/prompt_cache_entries.test.ts
【测试用例清单】1. 创建记录成功 2. 字段约束正确 3. 索引有效 4. 更新操作正确 5. 删除操作正确</t>
        </is>
      </c>
      <c r="M105" s="26" t="inlineStr">
        <is>
          <t>prompt_cache_entries表CRUD测试通过</t>
        </is>
      </c>
      <c r="N105" s="26" t="inlineStr"/>
    </row>
    <row r="106">
      <c r="A106" s="22" t="inlineStr">
        <is>
          <t>V25-DB-002</t>
        </is>
      </c>
      <c r="B106" s="22" t="inlineStr">
        <is>
          <t>prompt_cache_entries表 - 实现</t>
        </is>
      </c>
      <c r="C106" s="22" t="inlineStr">
        <is>
          <t>Green实现</t>
        </is>
      </c>
      <c r="D106" s="22" t="inlineStr">
        <is>
          <t>Harness数据表</t>
        </is>
      </c>
      <c r="E106" s="23" t="inlineStr">
        <is>
          <t>P0</t>
        </is>
      </c>
      <c r="F106" s="22" t="inlineStr">
        <is>
          <t>后端</t>
        </is>
      </c>
      <c r="G106" s="22" t="n">
        <v>3</v>
      </c>
      <c r="H106" s="22" t="inlineStr">
        <is>
          <t>2026-W27</t>
        </is>
      </c>
      <c r="I106" s="22" t="inlineStr">
        <is>
          <t>2026-W28</t>
        </is>
      </c>
      <c r="J106" s="22" t="inlineStr">
        <is>
          <t>V25-DB-001</t>
        </is>
      </c>
      <c r="K106" s="24" t="inlineStr">
        <is>
          <t>未开始</t>
        </is>
      </c>
      <c r="L106" s="25" t="inlineStr">
        <is>
          <t>【目标】实现prompt_cache_entries表：创建数据库迁移文件，定义字段和索引。字段：id/project_id/cache_scope/block_type/content_hash(Blake2b)/token_count/hit_count/last_hit_at/created_at。
【运行命令】npm test -- --grep 'prompt_cache_entries'
【实现步骤】1. 创建migrations/prompt_cache_entries.sql 2. 实现Model类 3. 实现Repository类 4. 添加索引
【源文件路径】src/harness/db/models/prompt_cache_entries.ts
【测试文件路径】src/harness/db/__tests__/prompt_cache_entries.test.ts</t>
        </is>
      </c>
      <c r="M106" s="22" t="inlineStr">
        <is>
          <t>prompt_cache_entries表正确创建，CRUD操作正常</t>
        </is>
      </c>
      <c r="N106" s="22" t="inlineStr"/>
    </row>
    <row r="107">
      <c r="A107" s="26" t="inlineStr">
        <is>
          <t>V25-DB-003</t>
        </is>
      </c>
      <c r="B107" s="26" t="inlineStr">
        <is>
          <t>prompt_cache_entries表 - 验收</t>
        </is>
      </c>
      <c r="C107" s="26" t="inlineStr">
        <is>
          <t>Acceptance验收</t>
        </is>
      </c>
      <c r="D107" s="26" t="inlineStr">
        <is>
          <t>Harness数据表</t>
        </is>
      </c>
      <c r="E107" s="23" t="inlineStr">
        <is>
          <t>P0</t>
        </is>
      </c>
      <c r="F107" s="26" t="inlineStr">
        <is>
          <t>后端</t>
        </is>
      </c>
      <c r="G107" s="26" t="n">
        <v>2</v>
      </c>
      <c r="H107" s="26" t="inlineStr">
        <is>
          <t>2026-W28</t>
        </is>
      </c>
      <c r="I107" s="26" t="inlineStr">
        <is>
          <t>2026-W28</t>
        </is>
      </c>
      <c r="J107" s="26" t="inlineStr">
        <is>
          <t>V25-DB-002</t>
        </is>
      </c>
      <c r="K107" s="24" t="inlineStr">
        <is>
          <t>未开始</t>
        </is>
      </c>
      <c r="L107" s="27" t="inlineStr">
        <is>
          <t>【目标】验收prompt_cache_entries表。
【运行命令】npm test -- --grep 'prompt_cache_entries'
【验收检查项】1. 表结构正确 2. CRUD操作正常 3. 索引有效 4. 数据完整性约束正确</t>
        </is>
      </c>
      <c r="M107" s="26" t="inlineStr">
        <is>
          <t>prompt_cache_entries表验收通过</t>
        </is>
      </c>
      <c r="N107" s="26" t="inlineStr"/>
    </row>
    <row r="108">
      <c r="A108" s="22" t="inlineStr">
        <is>
          <t>V25-DB-004</t>
        </is>
      </c>
      <c r="B108" s="22" t="inlineStr">
        <is>
          <t>compaction_records表 - 测试</t>
        </is>
      </c>
      <c r="C108" s="22" t="inlineStr">
        <is>
          <t>Red测试</t>
        </is>
      </c>
      <c r="D108" s="22" t="inlineStr">
        <is>
          <t>Harness数据表</t>
        </is>
      </c>
      <c r="E108" s="23" t="inlineStr">
        <is>
          <t>P0</t>
        </is>
      </c>
      <c r="F108" s="22" t="inlineStr">
        <is>
          <t>后端</t>
        </is>
      </c>
      <c r="G108" s="22" t="n">
        <v>2</v>
      </c>
      <c r="H108" s="22" t="inlineStr">
        <is>
          <t>2026-W27</t>
        </is>
      </c>
      <c r="I108" s="22" t="inlineStr">
        <is>
          <t>2026-W27</t>
        </is>
      </c>
      <c r="J108" s="22" t="inlineStr"/>
      <c r="K108" s="24" t="inlineStr">
        <is>
          <t>未开始</t>
        </is>
      </c>
      <c r="L108" s="25" t="inlineStr">
        <is>
          <t>【目标】测试compaction_records表的CRUD操作，验证字段约束和索引。字段：id/session_id/project_id/compaction_level/tokens_before/tokens_after/summary_content/first_archived_msg_id/last_archived_msg_id/is_reversible/consecutive_failures/created_at。
【运行命令】npm test -- --grep 'compaction_records'
【测试文件路径】src/harness/db/__tests__/compaction_records.test.ts
【测试用例清单】1. 创建记录成功 2. 字段约束正确 3. 索引有效 4. 更新操作正确 5. 删除操作正确</t>
        </is>
      </c>
      <c r="M108" s="22" t="inlineStr">
        <is>
          <t>compaction_records表CRUD测试通过</t>
        </is>
      </c>
      <c r="N108" s="22" t="inlineStr"/>
    </row>
    <row r="109">
      <c r="A109" s="26" t="inlineStr">
        <is>
          <t>V25-DB-005</t>
        </is>
      </c>
      <c r="B109" s="26" t="inlineStr">
        <is>
          <t>compaction_records表 - 实现</t>
        </is>
      </c>
      <c r="C109" s="26" t="inlineStr">
        <is>
          <t>Green实现</t>
        </is>
      </c>
      <c r="D109" s="26" t="inlineStr">
        <is>
          <t>Harness数据表</t>
        </is>
      </c>
      <c r="E109" s="23" t="inlineStr">
        <is>
          <t>P0</t>
        </is>
      </c>
      <c r="F109" s="26" t="inlineStr">
        <is>
          <t>后端</t>
        </is>
      </c>
      <c r="G109" s="26" t="n">
        <v>3</v>
      </c>
      <c r="H109" s="26" t="inlineStr">
        <is>
          <t>2026-W27</t>
        </is>
      </c>
      <c r="I109" s="26" t="inlineStr">
        <is>
          <t>2026-W28</t>
        </is>
      </c>
      <c r="J109" s="26" t="inlineStr">
        <is>
          <t>V25-DB-004</t>
        </is>
      </c>
      <c r="K109" s="24" t="inlineStr">
        <is>
          <t>未开始</t>
        </is>
      </c>
      <c r="L109" s="27" t="inlineStr">
        <is>
          <t>【目标】实现compaction_records表：创建数据库迁移文件，定义字段和索引。字段：id/session_id/project_id/compaction_level/tokens_before/tokens_after/summary_content/first_archived_msg_id/last_archived_msg_id/is_reversible/consecutive_failures/created_at。
【运行命令】npm test -- --grep 'compaction_records'
【实现步骤】1. 创建migrations/compaction_records.sql 2. 实现Model类 3. 实现Repository类 4. 添加索引
【源文件路径】src/harness/db/models/compaction_records.ts
【测试文件路径】src/harness/db/__tests__/compaction_records.test.ts</t>
        </is>
      </c>
      <c r="M109" s="26" t="inlineStr">
        <is>
          <t>compaction_records表正确创建，CRUD操作正常</t>
        </is>
      </c>
      <c r="N109" s="26" t="inlineStr"/>
    </row>
    <row r="110">
      <c r="A110" s="22" t="inlineStr">
        <is>
          <t>V25-DB-006</t>
        </is>
      </c>
      <c r="B110" s="22" t="inlineStr">
        <is>
          <t>compaction_records表 - 验收</t>
        </is>
      </c>
      <c r="C110" s="22" t="inlineStr">
        <is>
          <t>Acceptance验收</t>
        </is>
      </c>
      <c r="D110" s="22" t="inlineStr">
        <is>
          <t>Harness数据表</t>
        </is>
      </c>
      <c r="E110" s="23" t="inlineStr">
        <is>
          <t>P0</t>
        </is>
      </c>
      <c r="F110" s="22" t="inlineStr">
        <is>
          <t>后端</t>
        </is>
      </c>
      <c r="G110" s="22" t="n">
        <v>2</v>
      </c>
      <c r="H110" s="22" t="inlineStr">
        <is>
          <t>2026-W28</t>
        </is>
      </c>
      <c r="I110" s="22" t="inlineStr">
        <is>
          <t>2026-W28</t>
        </is>
      </c>
      <c r="J110" s="22" t="inlineStr">
        <is>
          <t>V25-DB-005</t>
        </is>
      </c>
      <c r="K110" s="24" t="inlineStr">
        <is>
          <t>未开始</t>
        </is>
      </c>
      <c r="L110" s="25" t="inlineStr">
        <is>
          <t>【目标】验收compaction_records表。
【运行命令】npm test -- --grep 'compaction_records'
【验收检查项】1. 表结构正确 2. CRUD操作正常 3. 索引有效 4. 数据完整性约束正确</t>
        </is>
      </c>
      <c r="M110" s="22" t="inlineStr">
        <is>
          <t>compaction_records表验收通过</t>
        </is>
      </c>
      <c r="N110" s="22" t="inlineStr"/>
    </row>
    <row r="111">
      <c r="A111" s="26" t="inlineStr">
        <is>
          <t>V25-DB-007</t>
        </is>
      </c>
      <c r="B111" s="26" t="inlineStr">
        <is>
          <t>permission_audit_log表 - 测试</t>
        </is>
      </c>
      <c r="C111" s="26" t="inlineStr">
        <is>
          <t>Red测试</t>
        </is>
      </c>
      <c r="D111" s="26" t="inlineStr">
        <is>
          <t>Harness数据表</t>
        </is>
      </c>
      <c r="E111" s="23" t="inlineStr">
        <is>
          <t>P0</t>
        </is>
      </c>
      <c r="F111" s="26" t="inlineStr">
        <is>
          <t>后端</t>
        </is>
      </c>
      <c r="G111" s="26" t="n">
        <v>2</v>
      </c>
      <c r="H111" s="26" t="inlineStr">
        <is>
          <t>2026-W27</t>
        </is>
      </c>
      <c r="I111" s="26" t="inlineStr">
        <is>
          <t>2026-W27</t>
        </is>
      </c>
      <c r="J111" s="26" t="inlineStr"/>
      <c r="K111" s="24" t="inlineStr">
        <is>
          <t>未开始</t>
        </is>
      </c>
      <c r="L111" s="27" t="inlineStr">
        <is>
          <t>【目标】测试permission_audit_log表的CRUD操作，验证字段约束和索引。字段：id/project_id/user_id/session_id/operation_type/classifier_stage/decision/reason/racer_id/processing_time_ms/created_at。
【运行命令】npm test -- --grep 'permission_audit_log'
【测试文件路径】src/harness/db/__tests__/permission_audit_log.test.ts
【测试用例清单】1. 创建记录成功 2. 字段约束正确 3. 索引有效 4. 更新操作正确 5. 删除操作正确</t>
        </is>
      </c>
      <c r="M111" s="26" t="inlineStr">
        <is>
          <t>permission_audit_log表CRUD测试通过</t>
        </is>
      </c>
      <c r="N111" s="26" t="inlineStr"/>
    </row>
    <row r="112">
      <c r="A112" s="22" t="inlineStr">
        <is>
          <t>V25-DB-008</t>
        </is>
      </c>
      <c r="B112" s="22" t="inlineStr">
        <is>
          <t>permission_audit_log表 - 实现</t>
        </is>
      </c>
      <c r="C112" s="22" t="inlineStr">
        <is>
          <t>Green实现</t>
        </is>
      </c>
      <c r="D112" s="22" t="inlineStr">
        <is>
          <t>Harness数据表</t>
        </is>
      </c>
      <c r="E112" s="23" t="inlineStr">
        <is>
          <t>P0</t>
        </is>
      </c>
      <c r="F112" s="22" t="inlineStr">
        <is>
          <t>后端</t>
        </is>
      </c>
      <c r="G112" s="22" t="n">
        <v>3</v>
      </c>
      <c r="H112" s="22" t="inlineStr">
        <is>
          <t>2026-W27</t>
        </is>
      </c>
      <c r="I112" s="22" t="inlineStr">
        <is>
          <t>2026-W28</t>
        </is>
      </c>
      <c r="J112" s="22" t="inlineStr">
        <is>
          <t>V25-DB-007</t>
        </is>
      </c>
      <c r="K112" s="24" t="inlineStr">
        <is>
          <t>未开始</t>
        </is>
      </c>
      <c r="L112" s="25" t="inlineStr">
        <is>
          <t>【目标】实现permission_audit_log表：创建数据库迁移文件，定义字段和索引。字段：id/project_id/user_id/session_id/operation_type/classifier_stage/decision/reason/racer_id/processing_time_ms/created_at。
【运行命令】npm test -- --grep 'permission_audit_log'
【实现步骤】1. 创建migrations/permission_audit_log.sql 2. 实现Model类 3. 实现Repository类 4. 添加索引
【源文件路径】src/harness/db/models/permission_audit_log.ts
【测试文件路径】src/harness/db/__tests__/permission_audit_log.test.ts</t>
        </is>
      </c>
      <c r="M112" s="22" t="inlineStr">
        <is>
          <t>permission_audit_log表正确创建，CRUD操作正常</t>
        </is>
      </c>
      <c r="N112" s="22" t="inlineStr"/>
    </row>
    <row r="113">
      <c r="A113" s="26" t="inlineStr">
        <is>
          <t>V25-DB-009</t>
        </is>
      </c>
      <c r="B113" s="26" t="inlineStr">
        <is>
          <t>permission_audit_log表 - 验收</t>
        </is>
      </c>
      <c r="C113" s="26" t="inlineStr">
        <is>
          <t>Acceptance验收</t>
        </is>
      </c>
      <c r="D113" s="26" t="inlineStr">
        <is>
          <t>Harness数据表</t>
        </is>
      </c>
      <c r="E113" s="23" t="inlineStr">
        <is>
          <t>P0</t>
        </is>
      </c>
      <c r="F113" s="26" t="inlineStr">
        <is>
          <t>后端</t>
        </is>
      </c>
      <c r="G113" s="26" t="n">
        <v>2</v>
      </c>
      <c r="H113" s="26" t="inlineStr">
        <is>
          <t>2026-W28</t>
        </is>
      </c>
      <c r="I113" s="26" t="inlineStr">
        <is>
          <t>2026-W28</t>
        </is>
      </c>
      <c r="J113" s="26" t="inlineStr">
        <is>
          <t>V25-DB-008</t>
        </is>
      </c>
      <c r="K113" s="24" t="inlineStr">
        <is>
          <t>未开始</t>
        </is>
      </c>
      <c r="L113" s="27" t="inlineStr">
        <is>
          <t>【目标】验收permission_audit_log表。
【运行命令】npm test -- --grep 'permission_audit_log'
【验收检查项】1. 表结构正确 2. CRUD操作正常 3. 索引有效 4. 数据完整性约束正确</t>
        </is>
      </c>
      <c r="M113" s="26" t="inlineStr">
        <is>
          <t>permission_audit_log表验收通过</t>
        </is>
      </c>
      <c r="N113" s="26" t="inlineStr"/>
    </row>
    <row r="114">
      <c r="A114" s="22" t="inlineStr">
        <is>
          <t>V25-DB-010</t>
        </is>
      </c>
      <c r="B114" s="22" t="inlineStr">
        <is>
          <t>feature_gates表 - 测试</t>
        </is>
      </c>
      <c r="C114" s="22" t="inlineStr">
        <is>
          <t>Red测试</t>
        </is>
      </c>
      <c r="D114" s="22" t="inlineStr">
        <is>
          <t>Harness数据表</t>
        </is>
      </c>
      <c r="E114" s="23" t="inlineStr">
        <is>
          <t>P0</t>
        </is>
      </c>
      <c r="F114" s="22" t="inlineStr">
        <is>
          <t>后端</t>
        </is>
      </c>
      <c r="G114" s="22" t="n">
        <v>2</v>
      </c>
      <c r="H114" s="22" t="inlineStr">
        <is>
          <t>2026-W27</t>
        </is>
      </c>
      <c r="I114" s="22" t="inlineStr">
        <is>
          <t>2026-W27</t>
        </is>
      </c>
      <c r="J114" s="22" t="inlineStr"/>
      <c r="K114" s="24" t="inlineStr">
        <is>
          <t>未开始</t>
        </is>
      </c>
      <c r="L114" s="25" t="inlineStr">
        <is>
          <t>【目标】测试feature_gates表的CRUD操作，验证字段约束和索引。字段：id/feature_name/gate_level(compile/runtime/env/api)/enabled/rollout_percentage/config(JSONB)/created_at/updated_at。
【运行命令】npm test -- --grep 'feature_gates'
【测试文件路径】src/harness/db/__tests__/feature_gates.test.ts
【测试用例清单】1. 创建记录成功 2. 字段约束正确 3. 索引有效 4. 更新操作正确 5. 删除操作正确</t>
        </is>
      </c>
      <c r="M114" s="22" t="inlineStr">
        <is>
          <t>feature_gates表CRUD测试通过</t>
        </is>
      </c>
      <c r="N114" s="22" t="inlineStr"/>
    </row>
    <row r="115">
      <c r="A115" s="26" t="inlineStr">
        <is>
          <t>V25-DB-011</t>
        </is>
      </c>
      <c r="B115" s="26" t="inlineStr">
        <is>
          <t>feature_gates表 - 实现</t>
        </is>
      </c>
      <c r="C115" s="26" t="inlineStr">
        <is>
          <t>Green实现</t>
        </is>
      </c>
      <c r="D115" s="26" t="inlineStr">
        <is>
          <t>Harness数据表</t>
        </is>
      </c>
      <c r="E115" s="23" t="inlineStr">
        <is>
          <t>P0</t>
        </is>
      </c>
      <c r="F115" s="26" t="inlineStr">
        <is>
          <t>后端</t>
        </is>
      </c>
      <c r="G115" s="26" t="n">
        <v>3</v>
      </c>
      <c r="H115" s="26" t="inlineStr">
        <is>
          <t>2026-W27</t>
        </is>
      </c>
      <c r="I115" s="26" t="inlineStr">
        <is>
          <t>2026-W28</t>
        </is>
      </c>
      <c r="J115" s="26" t="inlineStr">
        <is>
          <t>V25-DB-010</t>
        </is>
      </c>
      <c r="K115" s="24" t="inlineStr">
        <is>
          <t>未开始</t>
        </is>
      </c>
      <c r="L115" s="27" t="inlineStr">
        <is>
          <t>【目标】实现feature_gates表：创建数据库迁移文件，定义字段和索引。字段：id/feature_name/gate_level(compile/runtime/env/api)/enabled/rollout_percentage/config(JSONB)/created_at/updated_at。
【运行命令】npm test -- --grep 'feature_gates'
【实现步骤】1. 创建migrations/feature_gates.sql 2. 实现Model类 3. 实现Repository类 4. 添加索引
【源文件路径】src/harness/db/models/feature_gates.ts
【测试文件路径】src/harness/db/__tests__/feature_gates.test.ts</t>
        </is>
      </c>
      <c r="M115" s="26" t="inlineStr">
        <is>
          <t>feature_gates表正确创建，CRUD操作正常</t>
        </is>
      </c>
      <c r="N115" s="26" t="inlineStr"/>
    </row>
    <row r="116">
      <c r="A116" s="22" t="inlineStr">
        <is>
          <t>V25-DB-012</t>
        </is>
      </c>
      <c r="B116" s="22" t="inlineStr">
        <is>
          <t>feature_gates表 - 验收</t>
        </is>
      </c>
      <c r="C116" s="22" t="inlineStr">
        <is>
          <t>Acceptance验收</t>
        </is>
      </c>
      <c r="D116" s="22" t="inlineStr">
        <is>
          <t>Harness数据表</t>
        </is>
      </c>
      <c r="E116" s="23" t="inlineStr">
        <is>
          <t>P0</t>
        </is>
      </c>
      <c r="F116" s="22" t="inlineStr">
        <is>
          <t>后端</t>
        </is>
      </c>
      <c r="G116" s="22" t="n">
        <v>2</v>
      </c>
      <c r="H116" s="22" t="inlineStr">
        <is>
          <t>2026-W28</t>
        </is>
      </c>
      <c r="I116" s="22" t="inlineStr">
        <is>
          <t>2026-W28</t>
        </is>
      </c>
      <c r="J116" s="22" t="inlineStr">
        <is>
          <t>V25-DB-011</t>
        </is>
      </c>
      <c r="K116" s="24" t="inlineStr">
        <is>
          <t>未开始</t>
        </is>
      </c>
      <c r="L116" s="25" t="inlineStr">
        <is>
          <t>【目标】验收feature_gates表。
【运行命令】npm test -- --grep 'feature_gates'
【验收检查项】1. 表结构正确 2. CRUD操作正常 3. 索引有效 4. 数据完整性约束正确</t>
        </is>
      </c>
      <c r="M116" s="22" t="inlineStr">
        <is>
          <t>feature_gates表验收通过</t>
        </is>
      </c>
      <c r="N116" s="22" t="inlineStr"/>
    </row>
    <row r="117">
      <c r="A117" s="26" t="inlineStr">
        <is>
          <t>V25-INT-001</t>
        </is>
      </c>
      <c r="B117" s="26" t="inlineStr">
        <is>
          <t>REPL循环Harness检查点集成 - 测试</t>
        </is>
      </c>
      <c r="C117" s="26" t="inlineStr">
        <is>
          <t>Red测试</t>
        </is>
      </c>
      <c r="D117" s="26" t="inlineStr">
        <is>
          <t>Harness集成测试</t>
        </is>
      </c>
      <c r="E117" s="23" t="inlineStr">
        <is>
          <t>P0</t>
        </is>
      </c>
      <c r="F117" s="26" t="inlineStr">
        <is>
          <t>AI工程师</t>
        </is>
      </c>
      <c r="G117" s="26" t="n">
        <v>4</v>
      </c>
      <c r="H117" s="26" t="inlineStr">
        <is>
          <t>2026-W32</t>
        </is>
      </c>
      <c r="I117" s="26" t="inlineStr">
        <is>
          <t>2026-W33</t>
        </is>
      </c>
      <c r="J117" s="26" t="inlineStr"/>
      <c r="K117" s="24" t="inlineStr">
        <is>
          <t>未开始</t>
        </is>
      </c>
      <c r="L117" s="27" t="inlineStr">
        <is>
          <t>【目标】测试REPL循环中3个Harness检查点集成：1)Compaction阈值检查（每次循环前检查是否需要压缩）2)Permission预检（快速检查操作是否需要权限确认）3)Permission完整检查（工具调用前完整权限验证）。验证检查点不阻塞正常流程。
【运行命令】npm test -- --grep 'HarnessCheckpoints'
【测试文件路径】src/harness/integration/__tests__/harnessCheckpoints.test.ts
【测试用例清单】1. Compaction检查点正确触发 2. Permission预检不阻塞安全操作 3. Permission完整检查阻止危险操作 4. 检查点不增加明显延迟 5. 检查点异常不影响主流程</t>
        </is>
      </c>
      <c r="M117" s="26" t="inlineStr">
        <is>
          <t>REPL Harness检查点集成正确</t>
        </is>
      </c>
      <c r="N117" s="26" t="inlineStr"/>
    </row>
    <row r="118">
      <c r="A118" s="22" t="inlineStr">
        <is>
          <t>V25-INT-002</t>
        </is>
      </c>
      <c r="B118" s="22" t="inlineStr">
        <is>
          <t>REPL循环Harness检查点集成 - 实现</t>
        </is>
      </c>
      <c r="C118" s="22" t="inlineStr">
        <is>
          <t>Green实现</t>
        </is>
      </c>
      <c r="D118" s="22" t="inlineStr">
        <is>
          <t>Harness集成测试</t>
        </is>
      </c>
      <c r="E118" s="23" t="inlineStr">
        <is>
          <t>P0</t>
        </is>
      </c>
      <c r="F118" s="22" t="inlineStr">
        <is>
          <t>AI工程师</t>
        </is>
      </c>
      <c r="G118" s="22" t="n">
        <v>5</v>
      </c>
      <c r="H118" s="22" t="inlineStr">
        <is>
          <t>2026-W32</t>
        </is>
      </c>
      <c r="I118" s="22" t="inlineStr">
        <is>
          <t>2026-W33</t>
        </is>
      </c>
      <c r="J118" s="22" t="inlineStr">
        <is>
          <t>V25-INT-001</t>
        </is>
      </c>
      <c r="K118" s="24" t="inlineStr">
        <is>
          <t>未开始</t>
        </is>
      </c>
      <c r="L118" s="25" t="inlineStr">
        <is>
          <t>【目标】实现REPL循环Harness检查点集成：在REPL循环的每次迭代中插入3个检查点。Compaction检查在循环开始，Permission预检在意图识别后，Permission完整检查在工具调用前。
【运行命令】npm test -- --grep 'HarnessCheckpoints'
【实现步骤】1. 修改src/harness/repl/replLoop.ts 2. 插入Compaction检查点 3. 插入Permission预检点 4. 插入Permission完整检查点 5. 添加检查点性能监控
【源文件路径】src/harness/repl/replLoop.ts
【测试文件路径】src/harness/integration/__tests__/harnessCheckpoints.test.ts</t>
        </is>
      </c>
      <c r="M118" s="22" t="inlineStr">
        <is>
          <t>REPL Harness检查点正确集成</t>
        </is>
      </c>
      <c r="N118" s="22" t="inlineStr"/>
    </row>
    <row r="119">
      <c r="A119" s="26" t="inlineStr">
        <is>
          <t>V25-INT-003</t>
        </is>
      </c>
      <c r="B119" s="26" t="inlineStr">
        <is>
          <t>REPL循环Harness检查点集成 - 验收</t>
        </is>
      </c>
      <c r="C119" s="26" t="inlineStr">
        <is>
          <t>Acceptance验收</t>
        </is>
      </c>
      <c r="D119" s="26" t="inlineStr">
        <is>
          <t>Harness集成测试</t>
        </is>
      </c>
      <c r="E119" s="23" t="inlineStr">
        <is>
          <t>P0</t>
        </is>
      </c>
      <c r="F119" s="26" t="inlineStr">
        <is>
          <t>AI工程师</t>
        </is>
      </c>
      <c r="G119" s="26" t="n">
        <v>2</v>
      </c>
      <c r="H119" s="26" t="inlineStr">
        <is>
          <t>2026-W33</t>
        </is>
      </c>
      <c r="I119" s="26" t="inlineStr">
        <is>
          <t>2026-W34</t>
        </is>
      </c>
      <c r="J119" s="26" t="inlineStr">
        <is>
          <t>V25-INT-002</t>
        </is>
      </c>
      <c r="K119" s="24" t="inlineStr">
        <is>
          <t>未开始</t>
        </is>
      </c>
      <c r="L119" s="27" t="inlineStr">
        <is>
          <t>【目标】验收REPL Harness检查点集成。
【运行命令】npm test -- --grep 'HarnessCheckpoints'
【验收检查项】1. 三个检查点正确工作 2. 不阻塞正常流程 3. 性能影响&lt;50ms</t>
        </is>
      </c>
      <c r="M119" s="26" t="inlineStr">
        <is>
          <t>REPL Harness检查点验收通过</t>
        </is>
      </c>
      <c r="N119" s="26" t="inlineStr"/>
    </row>
    <row r="120">
      <c r="A120" s="22" t="inlineStr">
        <is>
          <t>V25-INT-004</t>
        </is>
      </c>
      <c r="B120" s="22" t="inlineStr">
        <is>
          <t>Prompt Cache + Compaction联合测试 - 测试</t>
        </is>
      </c>
      <c r="C120" s="22" t="inlineStr">
        <is>
          <t>Red测试</t>
        </is>
      </c>
      <c r="D120" s="22" t="inlineStr">
        <is>
          <t>Harness集成测试</t>
        </is>
      </c>
      <c r="E120" s="23" t="inlineStr">
        <is>
          <t>P0</t>
        </is>
      </c>
      <c r="F120" s="22" t="inlineStr">
        <is>
          <t>AI工程师</t>
        </is>
      </c>
      <c r="G120" s="22" t="n">
        <v>3</v>
      </c>
      <c r="H120" s="22" t="inlineStr">
        <is>
          <t>2026-W33</t>
        </is>
      </c>
      <c r="I120" s="22" t="inlineStr">
        <is>
          <t>2026-W34</t>
        </is>
      </c>
      <c r="J120" s="22" t="inlineStr"/>
      <c r="K120" s="24" t="inlineStr">
        <is>
          <t>未开始</t>
        </is>
      </c>
      <c r="L120" s="25" t="inlineStr">
        <is>
          <t>【目标】测试Prompt Cache和Compaction联合工作：压缩操作不bust主对话缓存，压缩Fork正确复用缓存前缀。模拟长对话场景验证缓存命中率。
【运行命令】npm test -- --grep 'CacheCompactionIntegration'
【测试文件路径】src/harness/integration/__tests__/cacheCompactionIntegration.test.ts
【测试用例清单】1. 压缩后主对话缓存仍有效 2. 压缩Fork复用缓存前缀 3. 长对话缓存命中率&gt;60% 4. 压缩不影响后续缓存命中</t>
        </is>
      </c>
      <c r="M120" s="22" t="inlineStr">
        <is>
          <t>Cache+Compaction联合工作正确</t>
        </is>
      </c>
      <c r="N120" s="22" t="inlineStr"/>
    </row>
    <row r="121">
      <c r="A121" s="26" t="inlineStr">
        <is>
          <t>V25-INT-005</t>
        </is>
      </c>
      <c r="B121" s="26" t="inlineStr">
        <is>
          <t>Prompt Cache + Compaction联合测试 - 实现</t>
        </is>
      </c>
      <c r="C121" s="26" t="inlineStr">
        <is>
          <t>Green实现</t>
        </is>
      </c>
      <c r="D121" s="26" t="inlineStr">
        <is>
          <t>Harness集成测试</t>
        </is>
      </c>
      <c r="E121" s="23" t="inlineStr">
        <is>
          <t>P0</t>
        </is>
      </c>
      <c r="F121" s="26" t="inlineStr">
        <is>
          <t>AI工程师</t>
        </is>
      </c>
      <c r="G121" s="26" t="n">
        <v>4</v>
      </c>
      <c r="H121" s="26" t="inlineStr">
        <is>
          <t>2026-W33</t>
        </is>
      </c>
      <c r="I121" s="26" t="inlineStr">
        <is>
          <t>2026-W34</t>
        </is>
      </c>
      <c r="J121" s="26" t="inlineStr">
        <is>
          <t>V25-INT-004</t>
        </is>
      </c>
      <c r="K121" s="24" t="inlineStr">
        <is>
          <t>未开始</t>
        </is>
      </c>
      <c r="L121" s="27" t="inlineStr">
        <is>
          <t>【目标】实现Prompt Cache和Compaction的联合集成测试场景。
【运行命令】npm test -- --grep 'CacheCompactionIntegration'
【实现步骤】1. 创建集成测试场景 2. 模拟长对话 3. 触发压缩 4. 验证缓存状态
【测试文件路径】src/harness/integration/__tests__/cacheCompactionIntegration.test.ts</t>
        </is>
      </c>
      <c r="M121" s="26" t="inlineStr">
        <is>
          <t>联合集成测试通过</t>
        </is>
      </c>
      <c r="N121" s="26" t="inlineStr"/>
    </row>
    <row r="122">
      <c r="A122" s="22" t="inlineStr">
        <is>
          <t>V25-INT-006</t>
        </is>
      </c>
      <c r="B122" s="22" t="inlineStr">
        <is>
          <t>Prompt Cache + Compaction联合测试 - 验收</t>
        </is>
      </c>
      <c r="C122" s="22" t="inlineStr">
        <is>
          <t>Acceptance验收</t>
        </is>
      </c>
      <c r="D122" s="22" t="inlineStr">
        <is>
          <t>Harness集成测试</t>
        </is>
      </c>
      <c r="E122" s="23" t="inlineStr">
        <is>
          <t>P0</t>
        </is>
      </c>
      <c r="F122" s="22" t="inlineStr">
        <is>
          <t>AI工程师</t>
        </is>
      </c>
      <c r="G122" s="22" t="n">
        <v>2</v>
      </c>
      <c r="H122" s="22" t="inlineStr">
        <is>
          <t>2026-W34</t>
        </is>
      </c>
      <c r="I122" s="22" t="inlineStr">
        <is>
          <t>2026-W35</t>
        </is>
      </c>
      <c r="J122" s="22" t="inlineStr">
        <is>
          <t>V25-INT-005</t>
        </is>
      </c>
      <c r="K122" s="24" t="inlineStr">
        <is>
          <t>未开始</t>
        </is>
      </c>
      <c r="L122" s="25" t="inlineStr">
        <is>
          <t>【目标】验收Cache+Compaction联合测试。
【运行命令】npm test -- --grep 'CacheCompactionIntegration'
【验收检查项】1. 缓存和压缩无冲突 2. 长场景测试通过 3. 缓存命中率达标</t>
        </is>
      </c>
      <c r="M122" s="22" t="inlineStr">
        <is>
          <t>Cache+Compaction联合验收通过</t>
        </is>
      </c>
      <c r="N122" s="22" t="inlineStr"/>
    </row>
    <row r="123">
      <c r="A123" s="26" t="inlineStr">
        <is>
          <t>V25-INT-007</t>
        </is>
      </c>
      <c r="B123" s="26" t="inlineStr">
        <is>
          <t>Permission + Memory联合测试 - 测试</t>
        </is>
      </c>
      <c r="C123" s="26" t="inlineStr">
        <is>
          <t>Red测试</t>
        </is>
      </c>
      <c r="D123" s="26" t="inlineStr">
        <is>
          <t>Harness集成测试</t>
        </is>
      </c>
      <c r="E123" s="23" t="inlineStr">
        <is>
          <t>P0</t>
        </is>
      </c>
      <c r="F123" s="26" t="inlineStr">
        <is>
          <t>AI工程师</t>
        </is>
      </c>
      <c r="G123" s="26" t="n">
        <v>3</v>
      </c>
      <c r="H123" s="26" t="inlineStr">
        <is>
          <t>2026-W34</t>
        </is>
      </c>
      <c r="I123" s="26" t="inlineStr">
        <is>
          <t>2026-W35</t>
        </is>
      </c>
      <c r="J123" s="26" t="inlineStr"/>
      <c r="K123" s="24" t="inlineStr">
        <is>
          <t>未开始</t>
        </is>
      </c>
      <c r="L123" s="27" t="inlineStr">
        <is>
          <t>【目标】测试Permission和Memory联合工作：权限拒绝反馈后AI能利用记忆系统调整策略，记忆老化警告影响权限判断。
【运行命令】npm test -- --grep 'PermissionMemoryIntegration'
【测试文件路径】src/harness/integration/__tests__/permissionMemoryIntegration.test.ts
【测试用例清单】1. 拒绝反馈+记忆→AI调整策略 2. 老化记忆降低权限信任 3. 新记忆提升权限信任 4. 联合场景无死锁</t>
        </is>
      </c>
      <c r="M123" s="26" t="inlineStr">
        <is>
          <t>Permission+Memory联合工作正确</t>
        </is>
      </c>
      <c r="N123" s="26" t="inlineStr"/>
    </row>
    <row r="124">
      <c r="A124" s="22" t="inlineStr">
        <is>
          <t>V25-INT-008</t>
        </is>
      </c>
      <c r="B124" s="22" t="inlineStr">
        <is>
          <t>Permission + Memory联合测试 - 实现</t>
        </is>
      </c>
      <c r="C124" s="22" t="inlineStr">
        <is>
          <t>Green实现</t>
        </is>
      </c>
      <c r="D124" s="22" t="inlineStr">
        <is>
          <t>Harness集成测试</t>
        </is>
      </c>
      <c r="E124" s="23" t="inlineStr">
        <is>
          <t>P0</t>
        </is>
      </c>
      <c r="F124" s="22" t="inlineStr">
        <is>
          <t>AI工程师</t>
        </is>
      </c>
      <c r="G124" s="22" t="n">
        <v>4</v>
      </c>
      <c r="H124" s="22" t="inlineStr">
        <is>
          <t>2026-W34</t>
        </is>
      </c>
      <c r="I124" s="22" t="inlineStr">
        <is>
          <t>2026-W35</t>
        </is>
      </c>
      <c r="J124" s="22" t="inlineStr">
        <is>
          <t>V25-INT-007</t>
        </is>
      </c>
      <c r="K124" s="24" t="inlineStr">
        <is>
          <t>未开始</t>
        </is>
      </c>
      <c r="L124" s="25" t="inlineStr">
        <is>
          <t>【目标】实现Permission和Memory联合集成测试场景。
【运行命令】npm test -- --grep 'PermissionMemoryIntegration'
【实现步骤】1. 创建联合测试场景 2. 模拟权限拒绝+记忆检索 3. 验证AI策略调整
【测试文件路径】src/harness/integration/__tests__/permissionMemoryIntegration.test.ts</t>
        </is>
      </c>
      <c r="M124" s="22" t="inlineStr">
        <is>
          <t>联合集成测试通过</t>
        </is>
      </c>
      <c r="N124" s="22" t="inlineStr"/>
    </row>
    <row r="125">
      <c r="A125" s="26" t="inlineStr">
        <is>
          <t>V25-INT-009</t>
        </is>
      </c>
      <c r="B125" s="26" t="inlineStr">
        <is>
          <t>Permission + Memory联合测试 - 验收</t>
        </is>
      </c>
      <c r="C125" s="26" t="inlineStr">
        <is>
          <t>Acceptance验收</t>
        </is>
      </c>
      <c r="D125" s="26" t="inlineStr">
        <is>
          <t>Harness集成测试</t>
        </is>
      </c>
      <c r="E125" s="23" t="inlineStr">
        <is>
          <t>P0</t>
        </is>
      </c>
      <c r="F125" s="26" t="inlineStr">
        <is>
          <t>AI工程师</t>
        </is>
      </c>
      <c r="G125" s="26" t="n">
        <v>2</v>
      </c>
      <c r="H125" s="26" t="inlineStr">
        <is>
          <t>2026-W35</t>
        </is>
      </c>
      <c r="I125" s="26" t="inlineStr">
        <is>
          <t>2026-W36</t>
        </is>
      </c>
      <c r="J125" s="26" t="inlineStr">
        <is>
          <t>V25-INT-008</t>
        </is>
      </c>
      <c r="K125" s="24" t="inlineStr">
        <is>
          <t>未开始</t>
        </is>
      </c>
      <c r="L125" s="27" t="inlineStr">
        <is>
          <t>【目标】验收Permission+Memory联合测试。
【运行命令】npm test -- --grep 'PermissionMemoryIntegration'
【验收检查项】1. 联合场景正确 2. AI策略调整有效 3. 无性能问题</t>
        </is>
      </c>
      <c r="M125" s="26" t="inlineStr">
        <is>
          <t>Permission+Memory联合验收通过</t>
        </is>
      </c>
      <c r="N125" s="26" t="inlineStr"/>
    </row>
    <row r="126">
      <c r="A126" s="22" t="inlineStr">
        <is>
          <t>V25-INT-010</t>
        </is>
      </c>
      <c r="B126" s="22" t="inlineStr">
        <is>
          <t>全Harness端到端压力测试 - 测试</t>
        </is>
      </c>
      <c r="C126" s="22" t="inlineStr">
        <is>
          <t>Red测试</t>
        </is>
      </c>
      <c r="D126" s="22" t="inlineStr">
        <is>
          <t>Harness集成测试</t>
        </is>
      </c>
      <c r="E126" s="23" t="inlineStr">
        <is>
          <t>P0</t>
        </is>
      </c>
      <c r="F126" s="22" t="inlineStr">
        <is>
          <t>测试工程师</t>
        </is>
      </c>
      <c r="G126" s="22" t="n">
        <v>4</v>
      </c>
      <c r="H126" s="22" t="inlineStr">
        <is>
          <t>2026-W39</t>
        </is>
      </c>
      <c r="I126" s="22" t="inlineStr">
        <is>
          <t>2026-W40</t>
        </is>
      </c>
      <c r="J126" s="22" t="inlineStr"/>
      <c r="K126" s="24" t="inlineStr">
        <is>
          <t>未开始</t>
        </is>
      </c>
      <c r="L126" s="25" t="inlineStr">
        <is>
          <t>【目标】模拟长篇小说创作场景（50+章节），验证全Harness系统性能指标：Cache命中率&gt;70%、压缩成功率&gt;95%、权限分类器P99&lt;500ms（Stage1）、系统可用性&gt;99.95%、API成本降低&gt;40%。
【运行命令】npm test -- --grep 'E2EStress'
【测试文件路径】src/harness/integration/__tests__/e2eStress.test.ts
【测试用例清单】1. 50+章节长场景 2. Cache命中率&gt;70% 3. 压缩成功率&gt;95% 4. 分类器P99&lt;500ms 5. 无内存泄漏 6. 无死锁</t>
        </is>
      </c>
      <c r="M126" s="22" t="inlineStr">
        <is>
          <t>端到端压力测试方案完整</t>
        </is>
      </c>
      <c r="N126" s="22" t="inlineStr"/>
    </row>
    <row r="127">
      <c r="A127" s="26" t="inlineStr">
        <is>
          <t>V25-INT-011</t>
        </is>
      </c>
      <c r="B127" s="26" t="inlineStr">
        <is>
          <t>全Harness端到端压力测试 - 实现</t>
        </is>
      </c>
      <c r="C127" s="26" t="inlineStr">
        <is>
          <t>Green实现</t>
        </is>
      </c>
      <c r="D127" s="26" t="inlineStr">
        <is>
          <t>Harness集成测试</t>
        </is>
      </c>
      <c r="E127" s="23" t="inlineStr">
        <is>
          <t>P0</t>
        </is>
      </c>
      <c r="F127" s="26" t="inlineStr">
        <is>
          <t>测试工程师</t>
        </is>
      </c>
      <c r="G127" s="26" t="n">
        <v>5</v>
      </c>
      <c r="H127" s="26" t="inlineStr">
        <is>
          <t>2026-W39</t>
        </is>
      </c>
      <c r="I127" s="26" t="inlineStr">
        <is>
          <t>2026-W40</t>
        </is>
      </c>
      <c r="J127" s="26" t="inlineStr">
        <is>
          <t>V25-INT-010</t>
        </is>
      </c>
      <c r="K127" s="24" t="inlineStr">
        <is>
          <t>未开始</t>
        </is>
      </c>
      <c r="L127" s="27" t="inlineStr">
        <is>
          <t>【目标】实现全Harness端到端压力测试：创建50+章节模拟场景，运行完整Harness流程，收集性能指标。
【运行命令】npm test -- --grep 'E2EStress'
【实现步骤】1. 创建模拟数据生成器 2. 实现端到端测试流程 3. 实现性能指标收集 4. 生成测试报告
【测试文件路径】src/harness/integration/__tests__/e2eStress.test.ts</t>
        </is>
      </c>
      <c r="M127" s="26" t="inlineStr">
        <is>
          <t>端到端压力测试通过</t>
        </is>
      </c>
      <c r="N127" s="26" t="inlineStr"/>
    </row>
    <row r="128">
      <c r="A128" s="22" t="inlineStr">
        <is>
          <t>V25-INT-012</t>
        </is>
      </c>
      <c r="B128" s="22" t="inlineStr">
        <is>
          <t>全Harness端到端压力测试 - 验收</t>
        </is>
      </c>
      <c r="C128" s="22" t="inlineStr">
        <is>
          <t>Acceptance验收</t>
        </is>
      </c>
      <c r="D128" s="22" t="inlineStr">
        <is>
          <t>Harness集成测试</t>
        </is>
      </c>
      <c r="E128" s="23" t="inlineStr">
        <is>
          <t>P0</t>
        </is>
      </c>
      <c r="F128" s="22" t="inlineStr">
        <is>
          <t>测试工程师</t>
        </is>
      </c>
      <c r="G128" s="22" t="n">
        <v>2</v>
      </c>
      <c r="H128" s="22" t="inlineStr">
        <is>
          <t>2026-W40</t>
        </is>
      </c>
      <c r="I128" s="22" t="inlineStr">
        <is>
          <t>2026-W41</t>
        </is>
      </c>
      <c r="J128" s="22" t="inlineStr">
        <is>
          <t>V25-INT-011</t>
        </is>
      </c>
      <c r="K128" s="24" t="inlineStr">
        <is>
          <t>未开始</t>
        </is>
      </c>
      <c r="L128" s="25" t="inlineStr">
        <is>
          <t>【目标】验收全Harness端到端压力测试结果。
【运行命令】npm test -- --grep 'E2EStress'
【验收检查项】1. Cache命中率&gt;70% 2. 压缩成功率&gt;95% 3. 分类器P99&lt;500ms 4. API成本降低&gt;40% 5. 无内存泄漏 6. 测试报告完整</t>
        </is>
      </c>
      <c r="M128" s="22" t="inlineStr">
        <is>
          <t>全Harness端到端验收通过</t>
        </is>
      </c>
      <c r="N128" s="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32" t="inlineStr">
        <is>
          <t>任务ID</t>
        </is>
      </c>
      <c r="B1" s="32" t="inlineStr">
        <is>
          <t>任务名称</t>
        </is>
      </c>
      <c r="C1" s="32" t="inlineStr">
        <is>
          <t>TDD阶段</t>
        </is>
      </c>
      <c r="D1" s="32" t="inlineStr">
        <is>
          <t>所属模块</t>
        </is>
      </c>
      <c r="E1" s="32" t="inlineStr">
        <is>
          <t>优先级</t>
        </is>
      </c>
      <c r="F1" s="32" t="inlineStr">
        <is>
          <t>负责角色</t>
        </is>
      </c>
      <c r="G1" s="32" t="inlineStr">
        <is>
          <t>预估工时</t>
        </is>
      </c>
      <c r="H1" s="32" t="inlineStr">
        <is>
          <t>开始周</t>
        </is>
      </c>
      <c r="I1" s="32" t="inlineStr">
        <is>
          <t>结束周</t>
        </is>
      </c>
      <c r="J1" s="32" t="inlineStr">
        <is>
          <t>前置依赖</t>
        </is>
      </c>
      <c r="K1" s="32" t="inlineStr">
        <is>
          <t>状态</t>
        </is>
      </c>
      <c r="L1" s="32" t="inlineStr">
        <is>
          <t>详细任务提示词</t>
        </is>
      </c>
      <c r="M1" s="32" t="inlineStr">
        <is>
          <t>验收标准</t>
        </is>
      </c>
      <c r="N1" s="32" t="inlineStr">
        <is>
          <t>备注</t>
        </is>
      </c>
    </row>
    <row r="2">
      <c r="A2" s="29" t="inlineStr">
        <is>
          <t>V23-I18-001</t>
        </is>
      </c>
      <c r="B2" s="29" t="inlineStr">
        <is>
          <t>react-i18next框架集成 - 测试</t>
        </is>
      </c>
      <c r="C2" s="29" t="inlineStr">
        <is>
          <t>Red测试</t>
        </is>
      </c>
      <c r="D2" s="29" t="inlineStr">
        <is>
          <t>国际化与本地化</t>
        </is>
      </c>
      <c r="E2" s="33" t="inlineStr">
        <is>
          <t>P0</t>
        </is>
      </c>
      <c r="F2" s="29" t="inlineStr">
        <is>
          <t>前端</t>
        </is>
      </c>
      <c r="G2" s="29" t="n">
        <v>2</v>
      </c>
      <c r="H2" s="29" t="inlineStr">
        <is>
          <t>2026-W26</t>
        </is>
      </c>
      <c r="I2" s="29" t="inlineStr">
        <is>
          <t>2026-W27</t>
        </is>
      </c>
      <c r="J2" s="29" t="n"/>
      <c r="K2" s="34" t="inlineStr">
        <is>
          <t>未开始</t>
        </is>
      </c>
      <c r="L2" s="35" t="inlineStr">
        <is>
          <t>【目标】编写react-i18next框架集成的单元测试，验证国际化基础设施正确性。
【运行命令】npm test -- --grep 'i18n initialization'
【测试文件路径】src/i18n/__tests__/i18nProvider.test.tsx
【测试用例清单】
1. test_i18n_provider_renders_without_error：渲染I18nProvider组件不抛出异常
2. test_default_language_is_zh_cn：验证默认语言设置为zh-CN
3. test_switch_language_to_en：调用changeLanguage('en')后语言成功切换
4. test_load_translation_namespace：加载editor命名空间后翻译key可用
5. test_missing_key_fallback_behavior：访问不存在的翻译key时返回fallback值
6. test_language_persistence_in_storage：刷新页面后语言设置从localStorage持久化恢复</t>
        </is>
      </c>
      <c r="M2" s="36" t="inlineStr">
        <is>
          <t>6个i18n初始化测试全部通过，覆盖默认语言、切换、命名空间加载、fallback和持久化</t>
        </is>
      </c>
      <c r="N2" s="29" t="inlineStr"/>
    </row>
    <row r="3">
      <c r="A3" s="30" t="inlineStr">
        <is>
          <t>V23-I18-002</t>
        </is>
      </c>
      <c r="B3" s="30" t="inlineStr">
        <is>
          <t>react-i18next框架集成 - 实现</t>
        </is>
      </c>
      <c r="C3" s="30" t="inlineStr">
        <is>
          <t>Green实现</t>
        </is>
      </c>
      <c r="D3" s="30" t="inlineStr">
        <is>
          <t>国际化与本地化</t>
        </is>
      </c>
      <c r="E3" s="33" t="inlineStr">
        <is>
          <t>P0</t>
        </is>
      </c>
      <c r="F3" s="30" t="inlineStr">
        <is>
          <t>前端</t>
        </is>
      </c>
      <c r="G3" s="30" t="n">
        <v>4</v>
      </c>
      <c r="H3" s="30" t="inlineStr">
        <is>
          <t>2026-W26</t>
        </is>
      </c>
      <c r="I3" s="30" t="inlineStr">
        <is>
          <t>2026-W27</t>
        </is>
      </c>
      <c r="J3" s="30" t="inlineStr">
        <is>
          <t>V23-I18-001</t>
        </is>
      </c>
      <c r="K3" s="34" t="inlineStr">
        <is>
          <t>未开始</t>
        </is>
      </c>
      <c r="L3" s="37" t="inlineStr">
        <is>
          <t>【目标】实现react-i18next框架集成，搭建完整的国际化基础设施。
【运行命令】npm test -- --grep 'i18n initialization'
【实现步骤】
1. 安装依赖：npm install i18next react-i18next i18next-http-backend i18next-browser-languagedetector
2. 创建src/i18n/config.ts，配置zh-CN和en-US两种语言，默认zh-CN
3. 创建locales/zh-CN/和locales/en-US/目录结构
4. 定义命名空间：common、editor、writing、settings
5. 创建I18nProvider.tsx包装组件
6. 在App.tsx中集成I18nProvider
【源文件路径】src/i18n/config.ts, src/i18n/I18nProvider.tsx
【测试文件路径】src/i18n/__tests__/i18nProvider.test.tsx</t>
        </is>
      </c>
      <c r="M3" s="38" t="inlineStr">
        <is>
          <t>i18n框架集成完成，所有测试通过，支持中英文切换和命名空间加载</t>
        </is>
      </c>
      <c r="N3" s="30" t="inlineStr"/>
    </row>
    <row r="4">
      <c r="A4" s="29" t="inlineStr">
        <is>
          <t>V23-I18-003</t>
        </is>
      </c>
      <c r="B4" s="29" t="inlineStr">
        <is>
          <t>react-i18next框架集成 - 重构</t>
        </is>
      </c>
      <c r="C4" s="29" t="inlineStr">
        <is>
          <t>Refactor重构</t>
        </is>
      </c>
      <c r="D4" s="29" t="inlineStr">
        <is>
          <t>国际化与本地化</t>
        </is>
      </c>
      <c r="E4" s="33" t="inlineStr">
        <is>
          <t>P0</t>
        </is>
      </c>
      <c r="F4" s="29" t="inlineStr">
        <is>
          <t>前端</t>
        </is>
      </c>
      <c r="G4" s="29" t="n">
        <v>2</v>
      </c>
      <c r="H4" s="29" t="inlineStr">
        <is>
          <t>2026-W26</t>
        </is>
      </c>
      <c r="I4" s="29" t="inlineStr">
        <is>
          <t>2026-W27</t>
        </is>
      </c>
      <c r="J4" s="29" t="inlineStr">
        <is>
          <t>V23-I18-002</t>
        </is>
      </c>
      <c r="K4" s="34" t="inlineStr">
        <is>
          <t>未开始</t>
        </is>
      </c>
      <c r="L4" s="35" t="inlineStr">
        <is>
          <t>【目标】重构i18n代码，提取自定义hooks，增强类型安全和代码复用性。
【运行命令】npm test -- --grep 'i18n'
【实现步骤】
1. 创建src/i18n/hooks/useLanguage.ts，封装语言切换逻辑
2. 创建src/i18n/hooks/useTranslation.ts，封装翻译函数
3. 添加zh-CN.d.ts类型声明文件，为翻译key提供类型提示
4. 集成i18next类型插件实现编译时key校验
5. 实现翻译资源lazy loading机制
6. 添加语言切换过渡动画
【源文件路径】src/i18n/hooks/useLanguage.ts, src/i18n/hooks/useTranslation.ts
【测试文件路径】src/i18n/__tests__/i18nProvider.test.tsx</t>
        </is>
      </c>
      <c r="M4" s="36" t="inlineStr">
        <is>
          <t>i18n代码重构完成，hooks提取完成，类型安全增强，lazy loading生效</t>
        </is>
      </c>
      <c r="N4" s="29" t="inlineStr"/>
    </row>
    <row r="5">
      <c r="A5" s="30" t="inlineStr">
        <is>
          <t>V23-I18-004</t>
        </is>
      </c>
      <c r="B5" s="30" t="inlineStr">
        <is>
          <t>react-i18next框架集成 - 验收</t>
        </is>
      </c>
      <c r="C5" s="30" t="inlineStr">
        <is>
          <t>Acceptance验收</t>
        </is>
      </c>
      <c r="D5" s="30" t="inlineStr">
        <is>
          <t>国际化与本地化</t>
        </is>
      </c>
      <c r="E5" s="33" t="inlineStr">
        <is>
          <t>P0</t>
        </is>
      </c>
      <c r="F5" s="30" t="inlineStr">
        <is>
          <t>前端</t>
        </is>
      </c>
      <c r="G5" s="30" t="n">
        <v>1</v>
      </c>
      <c r="H5" s="30" t="inlineStr">
        <is>
          <t>2026-W26</t>
        </is>
      </c>
      <c r="I5" s="30" t="inlineStr">
        <is>
          <t>2026-W27</t>
        </is>
      </c>
      <c r="J5" s="30" t="inlineStr">
        <is>
          <t>V23-I18-003</t>
        </is>
      </c>
      <c r="K5" s="34" t="inlineStr">
        <is>
          <t>未开始</t>
        </is>
      </c>
      <c r="L5" s="37" t="inlineStr">
        <is>
          <t>【目标】验收react-i18next框架集成的完整性和正确性。
【验收检查项】
1. 应用启动默认显示中文界面
2. 点击语言切换按钮后界面完整切换为英文
3. 刷新页面后语言设置保持不变
4. 检查所有页面无硬编码中文字符串
5. 浏览器控制台无i18n相关警告
6. TypeScript编译无类型错误
【运行命令】npm run build &amp;&amp; npm run test:e2e -- --grep 'i18n'</t>
        </is>
      </c>
      <c r="M5" s="38" t="inlineStr">
        <is>
          <t>i18n框架集成验收通过，中英文切换流畅，无硬编码和类型错误</t>
        </is>
      </c>
      <c r="N5" s="30" t="inlineStr"/>
    </row>
    <row r="6">
      <c r="A6" s="29" t="inlineStr">
        <is>
          <t>V23-I18-005</t>
        </is>
      </c>
      <c r="B6" s="29" t="inlineStr">
        <is>
          <t>双语UI实现 - 测试</t>
        </is>
      </c>
      <c r="C6" s="29" t="inlineStr">
        <is>
          <t>Red测试</t>
        </is>
      </c>
      <c r="D6" s="29" t="inlineStr">
        <is>
          <t>国际化与本地化</t>
        </is>
      </c>
      <c r="E6" s="33" t="inlineStr">
        <is>
          <t>P0</t>
        </is>
      </c>
      <c r="F6" s="29" t="inlineStr">
        <is>
          <t>前端</t>
        </is>
      </c>
      <c r="G6" s="29" t="n">
        <v>3</v>
      </c>
      <c r="H6" s="29" t="inlineStr">
        <is>
          <t>2026-W26</t>
        </is>
      </c>
      <c r="I6" s="29" t="inlineStr">
        <is>
          <t>2026-W27</t>
        </is>
      </c>
      <c r="J6" s="29" t="n"/>
      <c r="K6" s="34" t="inlineStr">
        <is>
          <t>未开始</t>
        </is>
      </c>
      <c r="L6" s="35" t="inlineStr">
        <is>
          <t>【目标】编写双语UI组件的单元测试，确保所有界面元素支持中英文显示。
【运行命令】npm test -- --grep 'bilingual UI'
【测试文件路径】src/i18n/__tests__/bilingualUI.test.tsx
【测试用例清单】
1. test_sidebar_displays_zh_text：侧边栏在中文模式下显示中文文本
2. test_sidebar_displays_en_text：侧边栏在英文模式下显示英文文本
3. test_toolbar_displays_zh_text：工具栏在中文模式下显示中文文本
4. test_settings_page_displays_zh_text：设置页面在中文模式下显示中文文本
5. test_modal_displays_translated_text：弹窗组件显示对应语言的文本
6. test_empty_state_displays_translated_text：空状态组件显示对应语言提示
7. test_no_hardcoded_chinese_strings：扫描所有组件无硬编码中文字符串</t>
        </is>
      </c>
      <c r="M6" s="36" t="inlineStr">
        <is>
          <t>7个双语UI测试全部通过，覆盖侧边栏、工具栏、设置页、弹窗和空状态</t>
        </is>
      </c>
      <c r="N6" s="29" t="inlineStr"/>
    </row>
    <row r="7">
      <c r="A7" s="30" t="inlineStr">
        <is>
          <t>V23-I18-006</t>
        </is>
      </c>
      <c r="B7" s="30" t="inlineStr">
        <is>
          <t>双语UI实现 - 实现</t>
        </is>
      </c>
      <c r="C7" s="30" t="inlineStr">
        <is>
          <t>Green实现</t>
        </is>
      </c>
      <c r="D7" s="30" t="inlineStr">
        <is>
          <t>国际化与本地化</t>
        </is>
      </c>
      <c r="E7" s="33" t="inlineStr">
        <is>
          <t>P0</t>
        </is>
      </c>
      <c r="F7" s="30" t="inlineStr">
        <is>
          <t>前端</t>
        </is>
      </c>
      <c r="G7" s="30" t="n">
        <v>5</v>
      </c>
      <c r="H7" s="30" t="inlineStr">
        <is>
          <t>2026-W26</t>
        </is>
      </c>
      <c r="I7" s="30" t="inlineStr">
        <is>
          <t>2026-W27</t>
        </is>
      </c>
      <c r="J7" s="30" t="inlineStr">
        <is>
          <t>V23-I18-005</t>
        </is>
      </c>
      <c r="K7" s="34" t="inlineStr">
        <is>
          <t>未开始</t>
        </is>
      </c>
      <c r="L7" s="37" t="inlineStr">
        <is>
          <t>【目标】实现所有UI组件的双语支持，完成中英文翻译资源文件。
【运行命令】npm test -- --grep 'bilingual UI'
【实现步骤】
1. 编写zh-CN/common.json，包含侧边栏、工具栏、设置、弹窗等通用UI文本
2. 编写en-US/common.json，对应英文翻译
3. 逐个替换Sidebar、Toolbar、Settings、Modal、EmptyState组件中的硬编码文本
4. 处理复数形式和变量插值（如{{count}}个文件）
5. 实现日期、数字、货币的本地化格式化
【源文件路径】src/i18n/locales/zh-CN/common.json, src/i18n/locales/en-US/common.json
【测试文件路径】src/i18n/__tests__/bilingualUI.test.tsx</t>
        </is>
      </c>
      <c r="M7" s="38" t="inlineStr">
        <is>
          <t>双语UI实现完成，所有组件支持中英文切换，翻译资源完整</t>
        </is>
      </c>
      <c r="N7" s="30" t="inlineStr"/>
    </row>
    <row r="8">
      <c r="A8" s="29" t="inlineStr">
        <is>
          <t>V23-I18-007</t>
        </is>
      </c>
      <c r="B8" s="29" t="inlineStr">
        <is>
          <t>双语UI实现 - 重构</t>
        </is>
      </c>
      <c r="C8" s="29" t="inlineStr">
        <is>
          <t>Refactor重构</t>
        </is>
      </c>
      <c r="D8" s="29" t="inlineStr">
        <is>
          <t>国际化与本地化</t>
        </is>
      </c>
      <c r="E8" s="33" t="inlineStr">
        <is>
          <t>P0</t>
        </is>
      </c>
      <c r="F8" s="29" t="inlineStr">
        <is>
          <t>前端</t>
        </is>
      </c>
      <c r="G8" s="29" t="n">
        <v>2</v>
      </c>
      <c r="H8" s="29" t="inlineStr">
        <is>
          <t>2026-W26</t>
        </is>
      </c>
      <c r="I8" s="29" t="inlineStr">
        <is>
          <t>2026-W27</t>
        </is>
      </c>
      <c r="J8" s="29" t="inlineStr">
        <is>
          <t>V23-I18-006</t>
        </is>
      </c>
      <c r="K8" s="34" t="inlineStr">
        <is>
          <t>未开始</t>
        </is>
      </c>
      <c r="L8" s="35" t="inlineStr">
        <is>
          <t>【目标】重构双语UI实现，优化翻译资源管理和组件国际化模式。
【运行命令】npm test -- --grep 'bilingual UI'
【实现步骤】
1. 按功能模块拆分翻译资源文件（common/editor/writing/settings）
2. 创建TransComponent工厂函数，统一国际化组件创建模式
3. 添加翻译key命名规范ESLint规则
4. 实现翻译覆盖率检查脚本
5. 优化语言切换时的UI过渡效果
【源文件路径】src/i18n/utils/TransComponent.ts
【测试文件路径】src/i18n/__tests__/bilingualUI.test.tsx</t>
        </is>
      </c>
      <c r="M8" s="36" t="inlineStr">
        <is>
          <t>双语UI重构完成，翻译资源按模块拆分，国际化模式统一</t>
        </is>
      </c>
      <c r="N8" s="29" t="inlineStr"/>
    </row>
    <row r="9">
      <c r="A9" s="30" t="inlineStr">
        <is>
          <t>V23-I18-008</t>
        </is>
      </c>
      <c r="B9" s="30" t="inlineStr">
        <is>
          <t>双语UI实现 - 验收</t>
        </is>
      </c>
      <c r="C9" s="30" t="inlineStr">
        <is>
          <t>Acceptance验收</t>
        </is>
      </c>
      <c r="D9" s="30" t="inlineStr">
        <is>
          <t>国际化与本地化</t>
        </is>
      </c>
      <c r="E9" s="33" t="inlineStr">
        <is>
          <t>P0</t>
        </is>
      </c>
      <c r="F9" s="30" t="inlineStr">
        <is>
          <t>前端</t>
        </is>
      </c>
      <c r="G9" s="30" t="n">
        <v>1</v>
      </c>
      <c r="H9" s="30" t="inlineStr">
        <is>
          <t>2026-W26</t>
        </is>
      </c>
      <c r="I9" s="30" t="inlineStr">
        <is>
          <t>2026-W27</t>
        </is>
      </c>
      <c r="J9" s="30" t="inlineStr">
        <is>
          <t>V23-I18-007</t>
        </is>
      </c>
      <c r="K9" s="34" t="inlineStr">
        <is>
          <t>未开始</t>
        </is>
      </c>
      <c r="L9" s="37" t="inlineStr">
        <is>
          <t>【目标】验收双语UI实现的完整性和一致性。
【验收检查项】
1. 所有页面在中文模式下显示完整中文
2. 所有页面在英文模式下显示完整英文
3. 无遗漏的未翻译文本
4. 翻译文本长度适配UI布局
5. 特殊字符和标点正确处理
6. 语言切换响应时间小于100ms
【运行命令】npm run test:e2e -- --grep 'bilingual' &amp;&amp; npm run check:i18n-coverage</t>
        </is>
      </c>
      <c r="M9" s="38" t="inlineStr">
        <is>
          <t>双语UI验收通过，所有页面中英文显示完整，布局适配良好</t>
        </is>
      </c>
      <c r="N9" s="30" t="inlineStr"/>
    </row>
    <row r="10">
      <c r="A10" s="29" t="inlineStr">
        <is>
          <t>V23-I18-009</t>
        </is>
      </c>
      <c r="B10" s="29" t="inlineStr">
        <is>
          <t>双语写作引擎 - 测试</t>
        </is>
      </c>
      <c r="C10" s="29" t="inlineStr">
        <is>
          <t>Red测试</t>
        </is>
      </c>
      <c r="D10" s="29" t="inlineStr">
        <is>
          <t>国际化与本地化</t>
        </is>
      </c>
      <c r="E10" s="33" t="inlineStr">
        <is>
          <t>P0</t>
        </is>
      </c>
      <c r="F10" s="29" t="inlineStr">
        <is>
          <t>AI工程师</t>
        </is>
      </c>
      <c r="G10" s="29" t="n">
        <v>3</v>
      </c>
      <c r="H10" s="29" t="inlineStr">
        <is>
          <t>2026-W26</t>
        </is>
      </c>
      <c r="I10" s="29" t="inlineStr">
        <is>
          <t>2026-W27</t>
        </is>
      </c>
      <c r="J10" s="29" t="n"/>
      <c r="K10" s="34" t="inlineStr">
        <is>
          <t>未开始</t>
        </is>
      </c>
      <c r="L10" s="35" t="inlineStr">
        <is>
          <t>【目标】编写双语写作引擎的测试用例，验证AI生成内容支持中英文。
【运行命令】npm test -- --grep 'bilingual writing engine'
【测试文件路径】src/ai/__tests__/bilingualEngine.test.ts
【测试用例清单】
1. test_generate_chinese_content：AI生成中文写作内容
2. test_generate_english_content：AI生成英文写作内容
3. test_mixed_language_prompt：混合语言prompt正确处理
4. test_writing_style_preservation_zh：中文写作风格保持
5. test_writing_style_preservation_en：英文写作风格保持
6. test_language_detection_accuracy：语言检测准确率&gt;95%</t>
        </is>
      </c>
      <c r="M10" s="36" t="inlineStr">
        <is>
          <t>6个双语写作引擎测试通过，覆盖中英文生成、风格保持和语言检测</t>
        </is>
      </c>
      <c r="N10" s="29" t="inlineStr"/>
    </row>
    <row r="11">
      <c r="A11" s="30" t="inlineStr">
        <is>
          <t>V23-I18-010</t>
        </is>
      </c>
      <c r="B11" s="30" t="inlineStr">
        <is>
          <t>双语写作引擎 - 实现</t>
        </is>
      </c>
      <c r="C11" s="30" t="inlineStr">
        <is>
          <t>Green实现</t>
        </is>
      </c>
      <c r="D11" s="30" t="inlineStr">
        <is>
          <t>国际化与本地化</t>
        </is>
      </c>
      <c r="E11" s="33" t="inlineStr">
        <is>
          <t>P0</t>
        </is>
      </c>
      <c r="F11" s="30" t="inlineStr">
        <is>
          <t>AI工程师</t>
        </is>
      </c>
      <c r="G11" s="30" t="n">
        <v>6</v>
      </c>
      <c r="H11" s="30" t="inlineStr">
        <is>
          <t>2026-W26</t>
        </is>
      </c>
      <c r="I11" s="30" t="inlineStr">
        <is>
          <t>2026-W27</t>
        </is>
      </c>
      <c r="J11" s="30" t="inlineStr">
        <is>
          <t>V23-I18-009</t>
        </is>
      </c>
      <c r="K11" s="34" t="inlineStr">
        <is>
          <t>未开始</t>
        </is>
      </c>
      <c r="L11" s="37" t="inlineStr">
        <is>
          <t>【目标】实现双语写作引擎，支持中英文AI内容生成和语言自动检测。
【运行命令】npm test -- --grep 'bilingual writing engine'
【实现步骤】
1. 创建src/ai/BilingualEngine.ts核心类
2. 实现语言检测模块，基于fasttext或自研模型
3. 集成中英文写作prompt模板
4. 实现写作风格参数化（正式/口语/文学等）
5. 添加语言特定的后处理管道
6. 与现有AI写作接口对接
【源文件路径】src/ai/BilingualEngine.ts
【测试文件路径】src/ai/__tests__/bilingualEngine.test.ts</t>
        </is>
      </c>
      <c r="M11" s="38" t="inlineStr">
        <is>
          <t>双语写作引擎实现完成，支持中英文内容生成和自动语言检测</t>
        </is>
      </c>
      <c r="N11" s="30" t="inlineStr"/>
    </row>
    <row r="12">
      <c r="A12" s="29" t="inlineStr">
        <is>
          <t>V23-I18-011</t>
        </is>
      </c>
      <c r="B12" s="29" t="inlineStr">
        <is>
          <t>双语写作引擎 - 重构</t>
        </is>
      </c>
      <c r="C12" s="29" t="inlineStr">
        <is>
          <t>Refactor重构</t>
        </is>
      </c>
      <c r="D12" s="29" t="inlineStr">
        <is>
          <t>国际化与本地化</t>
        </is>
      </c>
      <c r="E12" s="33" t="inlineStr">
        <is>
          <t>P0</t>
        </is>
      </c>
      <c r="F12" s="29" t="inlineStr">
        <is>
          <t>AI工程师</t>
        </is>
      </c>
      <c r="G12" s="29" t="n">
        <v>3</v>
      </c>
      <c r="H12" s="29" t="inlineStr">
        <is>
          <t>2026-W26</t>
        </is>
      </c>
      <c r="I12" s="29" t="inlineStr">
        <is>
          <t>2026-W27</t>
        </is>
      </c>
      <c r="J12" s="29" t="inlineStr">
        <is>
          <t>V23-I18-010</t>
        </is>
      </c>
      <c r="K12" s="34" t="inlineStr">
        <is>
          <t>未开始</t>
        </is>
      </c>
      <c r="L12" s="35" t="inlineStr">
        <is>
          <t>【目标】重构双语写作引擎，优化性能和可维护性。
【运行命令】npm test -- --grep 'bilingual writing engine'
【实现步骤】
1. 提取LanguageDetector为独立服务
2. 实现prompt模板的国际化配置管理
3. 添加写作引擎的性能监控埋点
4. 优化语言检测缓存策略
5. 统一中英文输出格式规范
【源文件路径】src/ai/services/LanguageDetector.ts
【测试文件路径】src/ai/__tests__/bilingualEngine.test.ts</t>
        </is>
      </c>
      <c r="M12" s="36" t="inlineStr">
        <is>
          <t>双语写作引擎重构完成，性能优化，代码结构清晰</t>
        </is>
      </c>
      <c r="N12" s="29" t="inlineStr"/>
    </row>
    <row r="13">
      <c r="A13" s="30" t="inlineStr">
        <is>
          <t>V23-I18-012</t>
        </is>
      </c>
      <c r="B13" s="30" t="inlineStr">
        <is>
          <t>双语写作引擎 - 验收</t>
        </is>
      </c>
      <c r="C13" s="30" t="inlineStr">
        <is>
          <t>Acceptance验收</t>
        </is>
      </c>
      <c r="D13" s="30" t="inlineStr">
        <is>
          <t>国际化与本地化</t>
        </is>
      </c>
      <c r="E13" s="33" t="inlineStr">
        <is>
          <t>P0</t>
        </is>
      </c>
      <c r="F13" s="30" t="inlineStr">
        <is>
          <t>AI工程师</t>
        </is>
      </c>
      <c r="G13" s="30" t="n">
        <v>2</v>
      </c>
      <c r="H13" s="30" t="inlineStr">
        <is>
          <t>2026-W26</t>
        </is>
      </c>
      <c r="I13" s="30" t="inlineStr">
        <is>
          <t>2026-W27</t>
        </is>
      </c>
      <c r="J13" s="30" t="inlineStr">
        <is>
          <t>V23-I18-011</t>
        </is>
      </c>
      <c r="K13" s="34" t="inlineStr">
        <is>
          <t>未开始</t>
        </is>
      </c>
      <c r="L13" s="37" t="inlineStr">
        <is>
          <t>【目标】验收双语写作引擎的功能和性能。
【验收检查项】
1. 中文写作生成质量达标
2. 英文写作生成质量达标
3. 语言检测准确率&gt;95%
4. 混合语言输入正确处理
5. 写作风格参数生效
6. 生成延迟小于3秒
【运行命令】npm run test:e2e -- --grep 'bilingual engine'</t>
        </is>
      </c>
      <c r="M13" s="38" t="inlineStr">
        <is>
          <t>双语写作引擎验收通过，中英文生成质量达标，语言检测准确</t>
        </is>
      </c>
      <c r="N13" s="30" t="inlineStr"/>
    </row>
    <row r="14">
      <c r="A14" s="29" t="inlineStr">
        <is>
          <t>V23-I18-013</t>
        </is>
      </c>
      <c r="B14" s="29" t="inlineStr">
        <is>
          <t>AI双语路由 - 测试</t>
        </is>
      </c>
      <c r="C14" s="29" t="inlineStr">
        <is>
          <t>Red测试</t>
        </is>
      </c>
      <c r="D14" s="29" t="inlineStr">
        <is>
          <t>国际化与本地化</t>
        </is>
      </c>
      <c r="E14" s="33" t="inlineStr">
        <is>
          <t>P0</t>
        </is>
      </c>
      <c r="F14" s="29" t="inlineStr">
        <is>
          <t>AI工程师</t>
        </is>
      </c>
      <c r="G14" s="29" t="n">
        <v>2</v>
      </c>
      <c r="H14" s="29" t="inlineStr">
        <is>
          <t>2026-W26</t>
        </is>
      </c>
      <c r="I14" s="29" t="inlineStr">
        <is>
          <t>2026-W27</t>
        </is>
      </c>
      <c r="J14" s="29" t="n"/>
      <c r="K14" s="34" t="inlineStr">
        <is>
          <t>未开始</t>
        </is>
      </c>
      <c r="L14" s="35" t="inlineStr">
        <is>
          <t>【目标】编写AI双语路由的测试用例，验证请求正确路由到对应语言模型。
【运行命令】npm test -- --grep 'AI language router'
【测试文件路径】src/ai/__tests__/languageRouter.test.ts
【测试用例清单】
1. test_route_chinese_to_chinese_model：中文请求路由到中文模型
2. test_route_english_to_english_model：英文请求路由到英文模型
3. test_route_mixed_to_primary_model：混合语言路由到主语言模型
4. test_fallback_on_model_unavailable：模型不可用时fallback处理
5. test_route_caching：相同语言请求命中缓存</t>
        </is>
      </c>
      <c r="M14" s="36" t="inlineStr">
        <is>
          <t>5个AI双语路由测试通过，覆盖中英文路由、fallback和缓存</t>
        </is>
      </c>
      <c r="N14" s="29" t="inlineStr"/>
    </row>
    <row r="15">
      <c r="A15" s="30" t="inlineStr">
        <is>
          <t>V23-I18-014</t>
        </is>
      </c>
      <c r="B15" s="30" t="inlineStr">
        <is>
          <t>AI双语路由 - 实现</t>
        </is>
      </c>
      <c r="C15" s="30" t="inlineStr">
        <is>
          <t>Green实现</t>
        </is>
      </c>
      <c r="D15" s="30" t="inlineStr">
        <is>
          <t>国际化与本地化</t>
        </is>
      </c>
      <c r="E15" s="33" t="inlineStr">
        <is>
          <t>P0</t>
        </is>
      </c>
      <c r="F15" s="30" t="inlineStr">
        <is>
          <t>AI工程师</t>
        </is>
      </c>
      <c r="G15" s="30" t="n">
        <v>4</v>
      </c>
      <c r="H15" s="30" t="inlineStr">
        <is>
          <t>2026-W26</t>
        </is>
      </c>
      <c r="I15" s="30" t="inlineStr">
        <is>
          <t>2026-W27</t>
        </is>
      </c>
      <c r="J15" s="30" t="inlineStr">
        <is>
          <t>V23-I18-013</t>
        </is>
      </c>
      <c r="K15" s="34" t="inlineStr">
        <is>
          <t>未开始</t>
        </is>
      </c>
      <c r="L15" s="37" t="inlineStr">
        <is>
          <t>【目标】实现AI双语路由，根据用户语言偏好自动选择对应语言模型。
【运行命令】npm test -- --grep 'AI language router'
【实现步骤】
1. 创建src/ai/LanguageRouter.ts路由核心
2. 实现基于用户语言偏好的模型选择策略
3. 配置中英文模型endpoint映射
4. 实现模型不可用时的fallback链
5. 添加路由决策缓存
6. 集成到现有AI请求管道
【源文件路径】src/ai/LanguageRouter.ts
【测试文件路径】src/ai/__tests__/languageRouter.test.ts</t>
        </is>
      </c>
      <c r="M15" s="38" t="inlineStr">
        <is>
          <t>AI双语路由实现完成，中英文请求正确路由到对应模型</t>
        </is>
      </c>
      <c r="N15" s="30" t="inlineStr"/>
    </row>
    <row r="16">
      <c r="A16" s="29" t="inlineStr">
        <is>
          <t>V23-I18-015</t>
        </is>
      </c>
      <c r="B16" s="29" t="inlineStr">
        <is>
          <t>AI双语路由 - 验收</t>
        </is>
      </c>
      <c r="C16" s="29" t="inlineStr">
        <is>
          <t>Acceptance验收</t>
        </is>
      </c>
      <c r="D16" s="29" t="inlineStr">
        <is>
          <t>国际化与本地化</t>
        </is>
      </c>
      <c r="E16" s="33" t="inlineStr">
        <is>
          <t>P0</t>
        </is>
      </c>
      <c r="F16" s="29" t="inlineStr">
        <is>
          <t>AI工程师</t>
        </is>
      </c>
      <c r="G16" s="29" t="n">
        <v>2</v>
      </c>
      <c r="H16" s="29" t="inlineStr">
        <is>
          <t>2026-W26</t>
        </is>
      </c>
      <c r="I16" s="29" t="inlineStr">
        <is>
          <t>2026-W27</t>
        </is>
      </c>
      <c r="J16" s="29" t="inlineStr">
        <is>
          <t>V23-I18-014</t>
        </is>
      </c>
      <c r="K16" s="34" t="inlineStr">
        <is>
          <t>未开始</t>
        </is>
      </c>
      <c r="L16" s="35" t="inlineStr">
        <is>
          <t>【目标】验收AI双语路由的正确性和可靠性。
【验收检查项】
1. 中文用户请求路由到中文模型
2. 英文用户请求路由到英文模型
3. 模型故障时自动fallback
4. 路由延迟小于50ms
5. 路由决策日志完整
【运行命令】npm run test:e2e -- --grep 'language router'</t>
        </is>
      </c>
      <c r="M16" s="36" t="inlineStr">
        <is>
          <t>AI双语路由验收通过，路由正确，fallback可靠</t>
        </is>
      </c>
      <c r="N16" s="29" t="inlineStr"/>
    </row>
    <row r="17">
      <c r="A17" s="30" t="inlineStr">
        <is>
          <t>V23-I18-016</t>
        </is>
      </c>
      <c r="B17" s="30" t="inlineStr">
        <is>
          <t>本地化格式 - 测试</t>
        </is>
      </c>
      <c r="C17" s="30" t="inlineStr">
        <is>
          <t>Red测试</t>
        </is>
      </c>
      <c r="D17" s="30" t="inlineStr">
        <is>
          <t>国际化与本地化</t>
        </is>
      </c>
      <c r="E17" s="33" t="inlineStr">
        <is>
          <t>P0</t>
        </is>
      </c>
      <c r="F17" s="30" t="inlineStr">
        <is>
          <t>前端</t>
        </is>
      </c>
      <c r="G17" s="30" t="n">
        <v>2</v>
      </c>
      <c r="H17" s="30" t="inlineStr">
        <is>
          <t>2026-W26</t>
        </is>
      </c>
      <c r="I17" s="30" t="inlineStr">
        <is>
          <t>2026-W27</t>
        </is>
      </c>
      <c r="J17" s="30" t="n"/>
      <c r="K17" s="34" t="inlineStr">
        <is>
          <t>未开始</t>
        </is>
      </c>
      <c r="L17" s="37" t="inlineStr">
        <is>
          <t>【目标】编写本地化格式测试，验证日期、数字、货币格式化正确性。
【运行命令】npm test -- --grep 'locale format'
【测试文件路径】src/i18n/__tests__/localeFormat.test.ts
【测试用例清单】
1. test_date_format_zh_cn：中文日期格式（2026年4月1日）
2. test_date_format_en_us：英文日期格式（April 1, 2026）
3. test_number_format_zh：中文数字格式（千分位）
4. test_currency_format_cny：人民币格式（¥1,234.56）
5. test_currency_format_usd：美元格式（$1,234.56）
6. test_relative_time_format：相对时间格式（3分钟前/3 min ago）</t>
        </is>
      </c>
      <c r="M17" s="38" t="inlineStr">
        <is>
          <t>6个本地化格式测试通过，覆盖日期、数字、货币和相对时间</t>
        </is>
      </c>
      <c r="N17" s="30" t="inlineStr"/>
    </row>
    <row r="18">
      <c r="A18" s="29" t="inlineStr">
        <is>
          <t>V23-I18-017</t>
        </is>
      </c>
      <c r="B18" s="29" t="inlineStr">
        <is>
          <t>本地化格式 - 实现</t>
        </is>
      </c>
      <c r="C18" s="29" t="inlineStr">
        <is>
          <t>Green实现</t>
        </is>
      </c>
      <c r="D18" s="29" t="inlineStr">
        <is>
          <t>国际化与本地化</t>
        </is>
      </c>
      <c r="E18" s="33" t="inlineStr">
        <is>
          <t>P0</t>
        </is>
      </c>
      <c r="F18" s="29" t="inlineStr">
        <is>
          <t>前端</t>
        </is>
      </c>
      <c r="G18" s="29" t="n">
        <v>3</v>
      </c>
      <c r="H18" s="29" t="inlineStr">
        <is>
          <t>2026-W26</t>
        </is>
      </c>
      <c r="I18" s="29" t="inlineStr">
        <is>
          <t>2026-W27</t>
        </is>
      </c>
      <c r="J18" s="29" t="inlineStr">
        <is>
          <t>V23-I18-016</t>
        </is>
      </c>
      <c r="K18" s="34" t="inlineStr">
        <is>
          <t>未开始</t>
        </is>
      </c>
      <c r="L18" s="35" t="inlineStr">
        <is>
          <t>【目标】实现本地化格式化工具，支持日期、数字、货币的国际化显示。
【运行命令】npm test -- --grep 'locale format'
【实现步骤】
1. 创建src/i18n/utils/localeFormat.ts
2. 基于Intl.DateTimeFormat实现日期格式化
3. 基于Intl.NumberFormat实现数字和货币格式化
4. 实现相对时间格式化（刚刚/N分钟前/N小时前）
5. 创建useLocaleFormat hook
6. 在UI组件中集成格式化工具
【源文件路径】src/i18n/utils/localeFormat.ts
【测试文件路径】src/i18n/__tests__/localeFormat.test.ts</t>
        </is>
      </c>
      <c r="M18" s="36" t="inlineStr">
        <is>
          <t>本地化格式实现完成，日期、数字、货币格式化正确</t>
        </is>
      </c>
      <c r="N18" s="29" t="inlineStr"/>
    </row>
    <row r="19">
      <c r="A19" s="30" t="inlineStr">
        <is>
          <t>V23-I18-018</t>
        </is>
      </c>
      <c r="B19" s="30" t="inlineStr">
        <is>
          <t>本地化格式 - 验收</t>
        </is>
      </c>
      <c r="C19" s="30" t="inlineStr">
        <is>
          <t>Acceptance验收</t>
        </is>
      </c>
      <c r="D19" s="30" t="inlineStr">
        <is>
          <t>国际化与本地化</t>
        </is>
      </c>
      <c r="E19" s="33" t="inlineStr">
        <is>
          <t>P0</t>
        </is>
      </c>
      <c r="F19" s="30" t="inlineStr">
        <is>
          <t>前端</t>
        </is>
      </c>
      <c r="G19" s="30" t="n">
        <v>1</v>
      </c>
      <c r="H19" s="30" t="inlineStr">
        <is>
          <t>2026-W26</t>
        </is>
      </c>
      <c r="I19" s="30" t="inlineStr">
        <is>
          <t>2026-W27</t>
        </is>
      </c>
      <c r="J19" s="30" t="inlineStr">
        <is>
          <t>V23-I18-017</t>
        </is>
      </c>
      <c r="K19" s="34" t="inlineStr">
        <is>
          <t>未开始</t>
        </is>
      </c>
      <c r="L19" s="37" t="inlineStr">
        <is>
          <t>【目标】验收本地化格式化的正确性和完整性。
【验收检查项】
1. 中文日期显示正确（年月日格式）
2. 英文日期显示正确（Month Day, Year格式）
3. 数字千分位分隔正确
4. 人民币和美元货币符号正确
5. 相对时间显示符合语言习惯
【运行命令】npm run test:e2e -- --grep 'locale format'</t>
        </is>
      </c>
      <c r="M19" s="38" t="inlineStr">
        <is>
          <t>本地化格式验收通过，所有格式化输出符合中英文习惯</t>
        </is>
      </c>
      <c r="N19" s="30" t="inlineStr"/>
    </row>
    <row r="20">
      <c r="A20" s="29" t="inlineStr">
        <is>
          <t>V23-PAY-001</t>
        </is>
      </c>
      <c r="B20" s="29" t="inlineStr">
        <is>
          <t>Stripe Checkout集成 - 测试</t>
        </is>
      </c>
      <c r="C20" s="29" t="inlineStr">
        <is>
          <t>Red测试</t>
        </is>
      </c>
      <c r="D20" s="29" t="inlineStr">
        <is>
          <t>支付与订阅</t>
        </is>
      </c>
      <c r="E20" s="33" t="inlineStr">
        <is>
          <t>P0</t>
        </is>
      </c>
      <c r="F20" s="29" t="inlineStr">
        <is>
          <t>全栈</t>
        </is>
      </c>
      <c r="G20" s="29" t="n">
        <v>3</v>
      </c>
      <c r="H20" s="29" t="inlineStr">
        <is>
          <t>2026-W26</t>
        </is>
      </c>
      <c r="I20" s="29" t="inlineStr">
        <is>
          <t>2026-W27</t>
        </is>
      </c>
      <c r="J20" s="29" t="n"/>
      <c r="K20" s="34" t="inlineStr">
        <is>
          <t>未开始</t>
        </is>
      </c>
      <c r="L20" s="35" t="inlineStr">
        <is>
          <t>【目标】编写Stripe Checkout集成的测试用例，验证支付流程正确性。
【运行命令】npm test -- --grep 'Stripe Checkout'
【测试文件路径】src/payment/__tests__/stripeCheckout.test.ts
【测试用例清单】
1. test_create_checkout_session：创建Checkout Session成功
2. test_checkout_session_contains_correct_price：Session包含正确价格
3. test_checkout_session_contains_metadata：Session包含用户metadata
4. test_checkout_webhook_signature_verification：Webhook签名验证
5. test_handle_successful_payment：处理成功支付回调
6. test_handle_failed_payment：处理失败支付回调</t>
        </is>
      </c>
      <c r="M20" s="36" t="inlineStr">
        <is>
          <t>6个Stripe Checkout测试通过，覆盖Session创建、签名验证和支付回调</t>
        </is>
      </c>
      <c r="N20" s="29" t="inlineStr"/>
    </row>
    <row r="21">
      <c r="A21" s="30" t="inlineStr">
        <is>
          <t>V23-PAY-002</t>
        </is>
      </c>
      <c r="B21" s="30" t="inlineStr">
        <is>
          <t>Stripe Checkout集成 - 实现</t>
        </is>
      </c>
      <c r="C21" s="30" t="inlineStr">
        <is>
          <t>Green实现</t>
        </is>
      </c>
      <c r="D21" s="30" t="inlineStr">
        <is>
          <t>支付与订阅</t>
        </is>
      </c>
      <c r="E21" s="33" t="inlineStr">
        <is>
          <t>P0</t>
        </is>
      </c>
      <c r="F21" s="30" t="inlineStr">
        <is>
          <t>全栈</t>
        </is>
      </c>
      <c r="G21" s="30" t="n">
        <v>6</v>
      </c>
      <c r="H21" s="30" t="inlineStr">
        <is>
          <t>2026-W26</t>
        </is>
      </c>
      <c r="I21" s="30" t="inlineStr">
        <is>
          <t>2026-W27</t>
        </is>
      </c>
      <c r="J21" s="30" t="inlineStr">
        <is>
          <t>V23-PAY-001</t>
        </is>
      </c>
      <c r="K21" s="34" t="inlineStr">
        <is>
          <t>未开始</t>
        </is>
      </c>
      <c r="L21" s="37" t="inlineStr">
        <is>
          <t>【目标】实现Stripe Checkout集成，搭建完整的支付流程。
【运行命令】npm test -- --grep 'Stripe Checkout'
【实现步骤】
1. 安装stripe SDK：npm install stripe @stripe/stripe-js
2. 创建src/payment/stripe/client.ts客户端配置
3. 创建src/payment/stripe/checkout.ts Checkout Session管理
4. 实现POST /api/payments/create-checkout-session接口
5. 实现POST /api/payments/webhook Stripe Webhook处理
6. 配置Stripe环境变量和密钥管理
【源文件路径】src/payment/stripe/checkout.ts, src/payment/api/createCheckout.ts
【测试文件路径】src/payment/__tests__/stripeCheckout.test.ts</t>
        </is>
      </c>
      <c r="M21" s="38" t="inlineStr">
        <is>
          <t>Stripe Checkout集成完成，支付流程端到端可用</t>
        </is>
      </c>
      <c r="N21" s="30" t="inlineStr"/>
    </row>
    <row r="22">
      <c r="A22" s="29" t="inlineStr">
        <is>
          <t>V23-PAY-003</t>
        </is>
      </c>
      <c r="B22" s="29" t="inlineStr">
        <is>
          <t>Stripe Checkout集成 - 重构</t>
        </is>
      </c>
      <c r="C22" s="29" t="inlineStr">
        <is>
          <t>Refactor重构</t>
        </is>
      </c>
      <c r="D22" s="29" t="inlineStr">
        <is>
          <t>支付与订阅</t>
        </is>
      </c>
      <c r="E22" s="33" t="inlineStr">
        <is>
          <t>P0</t>
        </is>
      </c>
      <c r="F22" s="29" t="inlineStr">
        <is>
          <t>全栈</t>
        </is>
      </c>
      <c r="G22" s="29" t="n">
        <v>3</v>
      </c>
      <c r="H22" s="29" t="inlineStr">
        <is>
          <t>2026-W26</t>
        </is>
      </c>
      <c r="I22" s="29" t="inlineStr">
        <is>
          <t>2026-W27</t>
        </is>
      </c>
      <c r="J22" s="29" t="inlineStr">
        <is>
          <t>V23-PAY-002</t>
        </is>
      </c>
      <c r="K22" s="34" t="inlineStr">
        <is>
          <t>未开始</t>
        </is>
      </c>
      <c r="L22" s="35" t="inlineStr">
        <is>
          <t>【目标】重构Stripe Checkout代码，增强安全性和可维护性。
【运行命令】npm test -- --grep 'Stripe Checkout'
【实现步骤】
1. 提取StripeService统一服务层
2. 实现支付状态机管理（pending/succeeded/failed/canceled）
3. 添加支付请求限流和防重复提交
4. 实现Stripe密钥轮换机制
5. 添加支付流程的详细日志和监控埋点
【源文件路径】src/payment/services/StripeService.ts
【测试文件路径】src/payment/__tests__/stripeCheckout.test.ts</t>
        </is>
      </c>
      <c r="M22" s="36" t="inlineStr">
        <is>
          <t>Stripe Checkout重构完成，安全性和可维护性增强</t>
        </is>
      </c>
      <c r="N22" s="29" t="inlineStr"/>
    </row>
    <row r="23">
      <c r="A23" s="30" t="inlineStr">
        <is>
          <t>V23-PAY-004</t>
        </is>
      </c>
      <c r="B23" s="30" t="inlineStr">
        <is>
          <t>Stripe Checkout集成 - 验收</t>
        </is>
      </c>
      <c r="C23" s="30" t="inlineStr">
        <is>
          <t>Acceptance验收</t>
        </is>
      </c>
      <c r="D23" s="30" t="inlineStr">
        <is>
          <t>支付与订阅</t>
        </is>
      </c>
      <c r="E23" s="33" t="inlineStr">
        <is>
          <t>P0</t>
        </is>
      </c>
      <c r="F23" s="30" t="inlineStr">
        <is>
          <t>全栈</t>
        </is>
      </c>
      <c r="G23" s="30" t="n">
        <v>2</v>
      </c>
      <c r="H23" s="30" t="inlineStr">
        <is>
          <t>2026-W26</t>
        </is>
      </c>
      <c r="I23" s="30" t="inlineStr">
        <is>
          <t>2026-W27</t>
        </is>
      </c>
      <c r="J23" s="30" t="inlineStr">
        <is>
          <t>V23-PAY-003</t>
        </is>
      </c>
      <c r="K23" s="34" t="inlineStr">
        <is>
          <t>未开始</t>
        </is>
      </c>
      <c r="L23" s="37" t="inlineStr">
        <is>
          <t>【目标】验收Stripe Checkout集成的完整支付流程。
【验收检查项】
1. 创建Checkout Session成功跳转Stripe支付页
2. 支付成功后正确处理回调
3. 支付失败后正确处理错误
4. Webhook签名验证安全可靠
5. 支付状态正确更新到数据库
6. 测试模式和正式模式切换正常
【运行命令】npm run test:e2e -- --grep 'stripe checkout'</t>
        </is>
      </c>
      <c r="M23" s="38" t="inlineStr">
        <is>
          <t>Stripe Checkout验收通过，支付流程完整可靠</t>
        </is>
      </c>
      <c r="N23" s="30" t="inlineStr"/>
    </row>
    <row r="24">
      <c r="A24" s="29" t="inlineStr">
        <is>
          <t>V23-PAY-005</t>
        </is>
      </c>
      <c r="B24" s="29" t="inlineStr">
        <is>
          <t>Stripe Billing订阅管理 - 测试</t>
        </is>
      </c>
      <c r="C24" s="29" t="inlineStr">
        <is>
          <t>Red测试</t>
        </is>
      </c>
      <c r="D24" s="29" t="inlineStr">
        <is>
          <t>支付与订阅</t>
        </is>
      </c>
      <c r="E24" s="33" t="inlineStr">
        <is>
          <t>P0</t>
        </is>
      </c>
      <c r="F24" s="29" t="inlineStr">
        <is>
          <t>全栈</t>
        </is>
      </c>
      <c r="G24" s="29" t="n">
        <v>3</v>
      </c>
      <c r="H24" s="29" t="inlineStr">
        <is>
          <t>2026-W26</t>
        </is>
      </c>
      <c r="I24" s="29" t="inlineStr">
        <is>
          <t>2026-W27</t>
        </is>
      </c>
      <c r="J24" s="29" t="n"/>
      <c r="K24" s="34" t="inlineStr">
        <is>
          <t>未开始</t>
        </is>
      </c>
      <c r="L24" s="35" t="inlineStr">
        <is>
          <t>【目标】编写Stripe Billing订阅管理的测试用例。
【运行命令】npm test -- --grep 'Stripe Billing'
【测试文件路径】src/payment/__tests__/stripeBilling.test.ts
【测试用例清单】
1. test_create_subscription：创建订阅成功
2. test_cancel_subscription：取消订阅成功
3. test_upgrade_subscription：升级订阅计划成功
4. test_downgrade_subscription：降级订阅计划成功
5. test_handle_subscription_webhook：处理订阅事件Webhook
6. test_subscription_status_sync：订阅状态同步正确</t>
        </is>
      </c>
      <c r="M24" s="36" t="inlineStr">
        <is>
          <t>6个Stripe Billing测试通过，覆盖创建、取消、升降级和状态同步</t>
        </is>
      </c>
      <c r="N24" s="29" t="inlineStr"/>
    </row>
    <row r="25">
      <c r="A25" s="30" t="inlineStr">
        <is>
          <t>V23-PAY-006</t>
        </is>
      </c>
      <c r="B25" s="30" t="inlineStr">
        <is>
          <t>Stripe Billing订阅管理 - 实现</t>
        </is>
      </c>
      <c r="C25" s="30" t="inlineStr">
        <is>
          <t>Green实现</t>
        </is>
      </c>
      <c r="D25" s="30" t="inlineStr">
        <is>
          <t>支付与订阅</t>
        </is>
      </c>
      <c r="E25" s="33" t="inlineStr">
        <is>
          <t>P0</t>
        </is>
      </c>
      <c r="F25" s="30" t="inlineStr">
        <is>
          <t>全栈</t>
        </is>
      </c>
      <c r="G25" s="30" t="n">
        <v>6</v>
      </c>
      <c r="H25" s="30" t="inlineStr">
        <is>
          <t>2026-W26</t>
        </is>
      </c>
      <c r="I25" s="30" t="inlineStr">
        <is>
          <t>2026-W27</t>
        </is>
      </c>
      <c r="J25" s="30" t="inlineStr">
        <is>
          <t>V23-PAY-005</t>
        </is>
      </c>
      <c r="K25" s="34" t="inlineStr">
        <is>
          <t>未开始</t>
        </is>
      </c>
      <c r="L25" s="37" t="inlineStr">
        <is>
          <t>【目标】实现Stripe Billing订阅管理，支持订阅的完整生命周期。
【运行命令】npm test -- --grep 'Stripe Billing'
【实现步骤】
1. 在Stripe Dashboard创建产品和价格
2. 创建src/payment/stripe/billing.ts订阅管理
3. 实现POST /api/subscriptions/create创建订阅
4. 实现POST /api/subscriptions/cancel取消订阅
5. 实现POST /api/subscriptions/update变更订阅
6. 实现订阅事件Webhook处理（customer.subscription.*）
【源文件路径】src/payment/stripe/billing.ts, src/payment/api/subscriptions.ts
【测试文件路径】src/payment/__tests__/stripeBilling.test.ts</t>
        </is>
      </c>
      <c r="M25" s="38" t="inlineStr">
        <is>
          <t>Stripe Billing订阅管理实现完成，支持创建、取消、升降级</t>
        </is>
      </c>
      <c r="N25" s="30" t="inlineStr"/>
    </row>
    <row r="26">
      <c r="A26" s="29" t="inlineStr">
        <is>
          <t>V23-PAY-007</t>
        </is>
      </c>
      <c r="B26" s="29" t="inlineStr">
        <is>
          <t>Stripe Billing订阅管理 - 重构</t>
        </is>
      </c>
      <c r="C26" s="29" t="inlineStr">
        <is>
          <t>Refactor重构</t>
        </is>
      </c>
      <c r="D26" s="29" t="inlineStr">
        <is>
          <t>支付与订阅</t>
        </is>
      </c>
      <c r="E26" s="33" t="inlineStr">
        <is>
          <t>P0</t>
        </is>
      </c>
      <c r="F26" s="29" t="inlineStr">
        <is>
          <t>全栈</t>
        </is>
      </c>
      <c r="G26" s="29" t="n">
        <v>3</v>
      </c>
      <c r="H26" s="29" t="inlineStr">
        <is>
          <t>2026-W26</t>
        </is>
      </c>
      <c r="I26" s="29" t="inlineStr">
        <is>
          <t>2026-W27</t>
        </is>
      </c>
      <c r="J26" s="29" t="inlineStr">
        <is>
          <t>V23-PAY-006</t>
        </is>
      </c>
      <c r="K26" s="34" t="inlineStr">
        <is>
          <t>未开始</t>
        </is>
      </c>
      <c r="L26" s="35" t="inlineStr">
        <is>
          <t>【目标】重构Stripe Billing代码，优化订阅管理逻辑。
【运行命令】npm test -- --grep 'Stripe Billing'
【实现步骤】
1. 提取SubscriptionManager服务类
2. 实现订阅变更的proration计算和展示
3. 添加订阅状态变更通知（邮件/站内信）
4. 实现订阅过期前的自动提醒
5. 优化Webhook处理的幂等性
【源文件路径】src/payment/services/SubscriptionManager.ts
【测试文件路径】src/payment/__tests__/stripeBilling.test.ts</t>
        </is>
      </c>
      <c r="M26" s="36" t="inlineStr">
        <is>
          <t>Stripe Billing重构完成，订阅管理逻辑优化</t>
        </is>
      </c>
      <c r="N26" s="29" t="inlineStr"/>
    </row>
    <row r="27">
      <c r="A27" s="30" t="inlineStr">
        <is>
          <t>V23-PAY-008</t>
        </is>
      </c>
      <c r="B27" s="30" t="inlineStr">
        <is>
          <t>Stripe Billing订阅管理 - 验收</t>
        </is>
      </c>
      <c r="C27" s="30" t="inlineStr">
        <is>
          <t>Acceptance验收</t>
        </is>
      </c>
      <c r="D27" s="30" t="inlineStr">
        <is>
          <t>支付与订阅</t>
        </is>
      </c>
      <c r="E27" s="33" t="inlineStr">
        <is>
          <t>P0</t>
        </is>
      </c>
      <c r="F27" s="30" t="inlineStr">
        <is>
          <t>全栈</t>
        </is>
      </c>
      <c r="G27" s="30" t="n">
        <v>2</v>
      </c>
      <c r="H27" s="30" t="inlineStr">
        <is>
          <t>2026-W26</t>
        </is>
      </c>
      <c r="I27" s="30" t="inlineStr">
        <is>
          <t>2026-W27</t>
        </is>
      </c>
      <c r="J27" s="30" t="inlineStr">
        <is>
          <t>V23-PAY-007</t>
        </is>
      </c>
      <c r="K27" s="34" t="inlineStr">
        <is>
          <t>未开始</t>
        </is>
      </c>
      <c r="L27" s="37" t="inlineStr">
        <is>
          <t>【目标】验收Stripe Billing订阅管理的完整功能。
【验收检查项】
1. 新用户创建订阅成功
2. 取消订阅后状态正确更新
3. 升级订阅proration金额正确
4. 降级订阅在周期结束后生效
5. Webhook事件处理幂等
6. 订阅状态与Stripe Dashboard一致
【运行命令】npm run test:e2e -- --grep 'stripe billing'</t>
        </is>
      </c>
      <c r="M27" s="38" t="inlineStr">
        <is>
          <t>Stripe Billing订阅管理验收通过，订阅生命周期管理完整</t>
        </is>
      </c>
      <c r="N27" s="30" t="inlineStr"/>
    </row>
    <row r="28">
      <c r="A28" s="29" t="inlineStr">
        <is>
          <t>V23-PAY-009</t>
        </is>
      </c>
      <c r="B28" s="29" t="inlineStr">
        <is>
          <t>四级订阅计划实现 - 测试</t>
        </is>
      </c>
      <c r="C28" s="29" t="inlineStr">
        <is>
          <t>Red测试</t>
        </is>
      </c>
      <c r="D28" s="29" t="inlineStr">
        <is>
          <t>支付与订阅</t>
        </is>
      </c>
      <c r="E28" s="33" t="inlineStr">
        <is>
          <t>P0</t>
        </is>
      </c>
      <c r="F28" s="29" t="inlineStr">
        <is>
          <t>全栈</t>
        </is>
      </c>
      <c r="G28" s="29" t="n">
        <v>3</v>
      </c>
      <c r="H28" s="29" t="inlineStr">
        <is>
          <t>2026-W26</t>
        </is>
      </c>
      <c r="I28" s="29" t="inlineStr">
        <is>
          <t>2026-W27</t>
        </is>
      </c>
      <c r="J28" s="29" t="n"/>
      <c r="K28" s="34" t="inlineStr">
        <is>
          <t>未开始</t>
        </is>
      </c>
      <c r="L28" s="35" t="inlineStr">
        <is>
          <t>【目标】编写四级订阅计划（Free/Basic/Pro/Enterprise）的测试用例。
【运行命令】npm test -- --grep 'subscription plans'
【测试文件路径】src/payment/__tests__/subscriptionPlans.test.ts
【测试用例清单】
1. test_free_plan_limits：Free计划限额正确
2. test_basic_plan_features：Basic计划功能可用
3. test_pro_plan_features：Pro计划功能可用
4. test_enterprise_plan_features：Enterprise计划功能可用
5. test_plan_feature_gating：功能门控正确
6. test_plan_upgrade_path：升级路径正确</t>
        </is>
      </c>
      <c r="M28" s="36" t="inlineStr">
        <is>
          <t>6个订阅计划测试通过，覆盖四级计划的功能和限额</t>
        </is>
      </c>
      <c r="N28" s="29" t="inlineStr"/>
    </row>
    <row r="29">
      <c r="A29" s="30" t="inlineStr">
        <is>
          <t>V23-PAY-010</t>
        </is>
      </c>
      <c r="B29" s="30" t="inlineStr">
        <is>
          <t>四级订阅计划实现 - 实现</t>
        </is>
      </c>
      <c r="C29" s="30" t="inlineStr">
        <is>
          <t>Green实现</t>
        </is>
      </c>
      <c r="D29" s="30" t="inlineStr">
        <is>
          <t>支付与订阅</t>
        </is>
      </c>
      <c r="E29" s="33" t="inlineStr">
        <is>
          <t>P0</t>
        </is>
      </c>
      <c r="F29" s="30" t="inlineStr">
        <is>
          <t>全栈</t>
        </is>
      </c>
      <c r="G29" s="30" t="n">
        <v>6</v>
      </c>
      <c r="H29" s="30" t="inlineStr">
        <is>
          <t>2026-W26</t>
        </is>
      </c>
      <c r="I29" s="30" t="inlineStr">
        <is>
          <t>2026-W27</t>
        </is>
      </c>
      <c r="J29" s="30" t="inlineStr">
        <is>
          <t>V23-PAY-009</t>
        </is>
      </c>
      <c r="K29" s="34" t="inlineStr">
        <is>
          <t>未开始</t>
        </is>
      </c>
      <c r="L29" s="37" t="inlineStr">
        <is>
          <t>【目标】实现四级订阅计划，配置各计划的功能和限额。
【运行命令】npm test -- --grep 'subscription plans'
【实现步骤】
1. 定义计划配置：Free(免费)/Basic($9.99)/Pro($29.99)/Enterprise(定制)
2. 创建src/payment/plans/planConfig.ts计划配置
3. 实现src/payment/plans/FeatureGate.ts功能门控
4. 实现useSubscription hook获取当前计划信息
5. 实现useFeatureAccess hook检查功能访问权限
6. 在UI中集成计划选择和功能门控
【源文件路径】src/payment/plans/planConfig.ts, src/payment/plans/FeatureGate.ts
【测试文件路径】src/payment/__tests__/subscriptionPlans.test.ts</t>
        </is>
      </c>
      <c r="M29" s="38" t="inlineStr">
        <is>
          <t>四级订阅计划实现完成，功能门控正确</t>
        </is>
      </c>
      <c r="N29" s="30" t="inlineStr"/>
    </row>
    <row r="30">
      <c r="A30" s="29" t="inlineStr">
        <is>
          <t>V23-PAY-011</t>
        </is>
      </c>
      <c r="B30" s="29" t="inlineStr">
        <is>
          <t>四级订阅计划实现 - 重构</t>
        </is>
      </c>
      <c r="C30" s="29" t="inlineStr">
        <is>
          <t>Refactor重构</t>
        </is>
      </c>
      <c r="D30" s="29" t="inlineStr">
        <is>
          <t>支付与订阅</t>
        </is>
      </c>
      <c r="E30" s="33" t="inlineStr">
        <is>
          <t>P0</t>
        </is>
      </c>
      <c r="F30" s="29" t="inlineStr">
        <is>
          <t>全栈</t>
        </is>
      </c>
      <c r="G30" s="29" t="n">
        <v>3</v>
      </c>
      <c r="H30" s="29" t="inlineStr">
        <is>
          <t>2026-W26</t>
        </is>
      </c>
      <c r="I30" s="29" t="inlineStr">
        <is>
          <t>2026-W27</t>
        </is>
      </c>
      <c r="J30" s="29" t="inlineStr">
        <is>
          <t>V23-PAY-010</t>
        </is>
      </c>
      <c r="K30" s="34" t="inlineStr">
        <is>
          <t>未开始</t>
        </is>
      </c>
      <c r="L30" s="35" t="inlineStr">
        <is>
          <t>【目标】重构订阅计划代码，增强灵活性和可扩展性。
【运行命令】npm test -- --grep 'subscription plans'
【实现步骤】
1. 实现计划配置的JSON Schema验证
2. 创建PlanManager统一管理计划逻辑
3. 实现功能门控的缓存优化
4. 添加计划变更的审计日志
5. 支持自定义计划配置（Enterprise）
【源文件路径】src/payment/services/PlanManager.ts
【测试文件路径】src/payment/__tests__/subscriptionPlans.test.ts</t>
        </is>
      </c>
      <c r="M30" s="36" t="inlineStr">
        <is>
          <t>订阅计划重构完成，配置灵活可扩展</t>
        </is>
      </c>
      <c r="N30" s="29" t="inlineStr"/>
    </row>
    <row r="31">
      <c r="A31" s="30" t="inlineStr">
        <is>
          <t>V23-PAY-012</t>
        </is>
      </c>
      <c r="B31" s="30" t="inlineStr">
        <is>
          <t>四级订阅计划实现 - 验收</t>
        </is>
      </c>
      <c r="C31" s="30" t="inlineStr">
        <is>
          <t>Acceptance验收</t>
        </is>
      </c>
      <c r="D31" s="30" t="inlineStr">
        <is>
          <t>支付与订阅</t>
        </is>
      </c>
      <c r="E31" s="33" t="inlineStr">
        <is>
          <t>P0</t>
        </is>
      </c>
      <c r="F31" s="30" t="inlineStr">
        <is>
          <t>全栈</t>
        </is>
      </c>
      <c r="G31" s="30" t="n">
        <v>2</v>
      </c>
      <c r="H31" s="30" t="inlineStr">
        <is>
          <t>2026-W26</t>
        </is>
      </c>
      <c r="I31" s="30" t="inlineStr">
        <is>
          <t>2026-W27</t>
        </is>
      </c>
      <c r="J31" s="30" t="inlineStr">
        <is>
          <t>V23-PAY-011</t>
        </is>
      </c>
      <c r="K31" s="34" t="inlineStr">
        <is>
          <t>未开始</t>
        </is>
      </c>
      <c r="L31" s="37" t="inlineStr">
        <is>
          <t>【目标】验收四级订阅计划的功能和限额正确性。
【验收检查项】
1. Free计划限额正确（如每月1000字）
2. Basic计划功能正确解锁
3. Pro计划高级功能可用
4. Enterprise计划全部功能开放
5. 功能门控在各页面正确生效
6. 计划切换后功能即时更新
【运行命令】npm run test:e2e -- --grep 'subscription plans'</t>
        </is>
      </c>
      <c r="M31" s="38" t="inlineStr">
        <is>
          <t>四级订阅计划验收通过，功能和限额配置正确</t>
        </is>
      </c>
      <c r="N31" s="30" t="inlineStr"/>
    </row>
    <row r="32">
      <c r="A32" s="29" t="inlineStr">
        <is>
          <t>V23-PAY-013</t>
        </is>
      </c>
      <c r="B32" s="29" t="inlineStr">
        <is>
          <t>用量计量与计费 - 测试</t>
        </is>
      </c>
      <c r="C32" s="29" t="inlineStr">
        <is>
          <t>Red测试</t>
        </is>
      </c>
      <c r="D32" s="29" t="inlineStr">
        <is>
          <t>支付与订阅</t>
        </is>
      </c>
      <c r="E32" s="33" t="inlineStr">
        <is>
          <t>P0</t>
        </is>
      </c>
      <c r="F32" s="29" t="inlineStr">
        <is>
          <t>后端</t>
        </is>
      </c>
      <c r="G32" s="29" t="n">
        <v>3</v>
      </c>
      <c r="H32" s="29" t="inlineStr">
        <is>
          <t>2026-W26</t>
        </is>
      </c>
      <c r="I32" s="29" t="inlineStr">
        <is>
          <t>2026-W27</t>
        </is>
      </c>
      <c r="J32" s="29" t="n"/>
      <c r="K32" s="34" t="inlineStr">
        <is>
          <t>未开始</t>
        </is>
      </c>
      <c r="L32" s="35" t="inlineStr">
        <is>
          <t>【目标】编写用量计量与计费系统的测试用例。
【运行命令】npm test -- --grep 'usage metering'
【测试文件路径】src/payment/__tests__/usageMetering.test.ts
【测试用例清单】
1. test_record_usage_event：记录用量事件成功
2. test_aggregate_monthly_usage：月度用量聚合正确
3. test_check_usage_limit：限额检查正确
4. test_calculate_overage_fee：超额费用计算正确
5. test_usage_reset_on_billing_cycle：计费周期重置用量
6. test_concurrent_usage_handling：并发用量处理正确</t>
        </is>
      </c>
      <c r="M32" s="36" t="inlineStr">
        <is>
          <t>6个用量计量测试通过，覆盖记录、聚合、限额和计费</t>
        </is>
      </c>
      <c r="N32" s="29" t="inlineStr"/>
    </row>
    <row r="33">
      <c r="A33" s="30" t="inlineStr">
        <is>
          <t>V23-PAY-014</t>
        </is>
      </c>
      <c r="B33" s="30" t="inlineStr">
        <is>
          <t>用量计量与计费 - 实现</t>
        </is>
      </c>
      <c r="C33" s="30" t="inlineStr">
        <is>
          <t>Green实现</t>
        </is>
      </c>
      <c r="D33" s="30" t="inlineStr">
        <is>
          <t>支付与订阅</t>
        </is>
      </c>
      <c r="E33" s="33" t="inlineStr">
        <is>
          <t>P0</t>
        </is>
      </c>
      <c r="F33" s="30" t="inlineStr">
        <is>
          <t>后端</t>
        </is>
      </c>
      <c r="G33" s="30" t="n">
        <v>6</v>
      </c>
      <c r="H33" s="30" t="inlineStr">
        <is>
          <t>2026-W26</t>
        </is>
      </c>
      <c r="I33" s="30" t="inlineStr">
        <is>
          <t>2026-W27</t>
        </is>
      </c>
      <c r="J33" s="30" t="inlineStr">
        <is>
          <t>V23-PAY-013</t>
        </is>
      </c>
      <c r="K33" s="34" t="inlineStr">
        <is>
          <t>未开始</t>
        </is>
      </c>
      <c r="L33" s="37" t="inlineStr">
        <is>
          <t>【目标】实现用量计量与计费系统，跟踪用户资源使用情况。
【运行命令】npm test -- --grep 'usage metering'
【实现步骤】
1. 创建src/payment/metering/UsageTracker.ts用量追踪
2. 定义计量维度：AI字数、存储空间、API调用次数
3. 实现Redis原子计数器记录实时用量
4. 创建src/payment/metering/BillingCalculator.ts费用计算
5. 实现超额用量自动计费
6. 实现计费周期自动重置
【源文件路径】src/payment/metering/UsageTracker.ts, src/payment/metering/BillingCalculator.ts
【测试文件路径】src/payment/__tests__/usageMetering.test.ts</t>
        </is>
      </c>
      <c r="M33" s="38" t="inlineStr">
        <is>
          <t>用量计量与计费实现完成，支持多维度计量和超额计费</t>
        </is>
      </c>
      <c r="N33" s="30" t="inlineStr"/>
    </row>
    <row r="34">
      <c r="A34" s="29" t="inlineStr">
        <is>
          <t>V23-PAY-015</t>
        </is>
      </c>
      <c r="B34" s="29" t="inlineStr">
        <is>
          <t>用量计量与计费 - 重构</t>
        </is>
      </c>
      <c r="C34" s="29" t="inlineStr">
        <is>
          <t>Refactor重构</t>
        </is>
      </c>
      <c r="D34" s="29" t="inlineStr">
        <is>
          <t>支付与订阅</t>
        </is>
      </c>
      <c r="E34" s="33" t="inlineStr">
        <is>
          <t>P0</t>
        </is>
      </c>
      <c r="F34" s="29" t="inlineStr">
        <is>
          <t>后端</t>
        </is>
      </c>
      <c r="G34" s="29" t="n">
        <v>3</v>
      </c>
      <c r="H34" s="29" t="inlineStr">
        <is>
          <t>2026-W26</t>
        </is>
      </c>
      <c r="I34" s="29" t="inlineStr">
        <is>
          <t>2026-W27</t>
        </is>
      </c>
      <c r="J34" s="29" t="inlineStr">
        <is>
          <t>V23-PAY-014</t>
        </is>
      </c>
      <c r="K34" s="34" t="inlineStr">
        <is>
          <t>未开始</t>
        </is>
      </c>
      <c r="L34" s="35" t="inlineStr">
        <is>
          <t>【目标】重构用量计量代码，优化性能和准确性。
【运行命令】npm test -- --grep 'usage metering'
【实现步骤】
1. 实现用量数据的批量写入优化
2. 添加用量数据的一致性校验
3. 实现用量异常检测和告警
4. 优化Redis缓存策略减少数据库写入
5. 添加用量历史数据归档
【源文件路径】src/payment/metering/UsageAggregator.ts
【测试文件路径】src/payment/__tests__/usageMetering.test.ts</t>
        </is>
      </c>
      <c r="M34" s="36" t="inlineStr">
        <is>
          <t>用量计量重构完成，性能和准确性优化</t>
        </is>
      </c>
      <c r="N34" s="29" t="inlineStr"/>
    </row>
    <row r="35">
      <c r="A35" s="30" t="inlineStr">
        <is>
          <t>V23-PAY-016</t>
        </is>
      </c>
      <c r="B35" s="30" t="inlineStr">
        <is>
          <t>用量计量与计费 - 验收</t>
        </is>
      </c>
      <c r="C35" s="30" t="inlineStr">
        <is>
          <t>Acceptance验收</t>
        </is>
      </c>
      <c r="D35" s="30" t="inlineStr">
        <is>
          <t>支付与订阅</t>
        </is>
      </c>
      <c r="E35" s="33" t="inlineStr">
        <is>
          <t>P0</t>
        </is>
      </c>
      <c r="F35" s="30" t="inlineStr">
        <is>
          <t>后端</t>
        </is>
      </c>
      <c r="G35" s="30" t="n">
        <v>2</v>
      </c>
      <c r="H35" s="30" t="inlineStr">
        <is>
          <t>2026-W26</t>
        </is>
      </c>
      <c r="I35" s="30" t="inlineStr">
        <is>
          <t>2026-W27</t>
        </is>
      </c>
      <c r="J35" s="30" t="inlineStr">
        <is>
          <t>V23-PAY-015</t>
        </is>
      </c>
      <c r="K35" s="34" t="inlineStr">
        <is>
          <t>未开始</t>
        </is>
      </c>
      <c r="L35" s="37" t="inlineStr">
        <is>
          <t>【目标】验收用量计量与计费系统的准确性。
【验收检查项】
1. 用量事件记录准确无丢失
2. 月度用量聚合数据正确
3. 限额检查实时生效
4. 超额费用计算准确
5. 计费周期重置正确
6. 并发场景下数据一致
【运行命令】npm run test:e2e -- --grep 'usage metering'</t>
        </is>
      </c>
      <c r="M35" s="38" t="inlineStr">
        <is>
          <t>用量计量与计费验收通过，数据准确可靠</t>
        </is>
      </c>
      <c r="N35" s="30" t="inlineStr"/>
    </row>
    <row r="36">
      <c r="A36" s="29" t="inlineStr">
        <is>
          <t>V23-PAY-017</t>
        </is>
      </c>
      <c r="B36" s="29" t="inlineStr">
        <is>
          <t>优惠策略与退款 - 测试</t>
        </is>
      </c>
      <c r="C36" s="29" t="inlineStr">
        <is>
          <t>Red测试</t>
        </is>
      </c>
      <c r="D36" s="29" t="inlineStr">
        <is>
          <t>支付与订阅</t>
        </is>
      </c>
      <c r="E36" s="33" t="inlineStr">
        <is>
          <t>P0</t>
        </is>
      </c>
      <c r="F36" s="29" t="inlineStr">
        <is>
          <t>全栈</t>
        </is>
      </c>
      <c r="G36" s="29" t="n">
        <v>2</v>
      </c>
      <c r="H36" s="29" t="inlineStr">
        <is>
          <t>2026-W26</t>
        </is>
      </c>
      <c r="I36" s="29" t="inlineStr">
        <is>
          <t>2026-W27</t>
        </is>
      </c>
      <c r="J36" s="29" t="n"/>
      <c r="K36" s="34" t="inlineStr">
        <is>
          <t>未开始</t>
        </is>
      </c>
      <c r="L36" s="35" t="inlineStr">
        <is>
          <t>【目标】编写优惠策略与退款的测试用例。
【运行命令】npm test -- --grep 'coupon refund'
【测试文件路径】src/payment/__tests__/couponRefund.test.ts
【测试用例清单】
1. test_apply_coupon_code：应用优惠码成功
2. test_coupon_percentage_discount：百分比折扣计算正确
3. test_coupon_fixed_discount：固定金额折扣计算正确
4. test_coupon_expiration：过期优惠码拒绝
5. test_process_refund：处理退款成功
6. test_partial_refund：部分退款金额正确</t>
        </is>
      </c>
      <c r="M36" s="36" t="inlineStr">
        <is>
          <t>6个优惠策略与退款测试通过，覆盖折扣和退款场景</t>
        </is>
      </c>
      <c r="N36" s="29" t="inlineStr"/>
    </row>
    <row r="37">
      <c r="A37" s="30" t="inlineStr">
        <is>
          <t>V23-PAY-018</t>
        </is>
      </c>
      <c r="B37" s="30" t="inlineStr">
        <is>
          <t>优惠策略与退款 - 实现</t>
        </is>
      </c>
      <c r="C37" s="30" t="inlineStr">
        <is>
          <t>Green实现</t>
        </is>
      </c>
      <c r="D37" s="30" t="inlineStr">
        <is>
          <t>支付与订阅</t>
        </is>
      </c>
      <c r="E37" s="33" t="inlineStr">
        <is>
          <t>P0</t>
        </is>
      </c>
      <c r="F37" s="30" t="inlineStr">
        <is>
          <t>全栈</t>
        </is>
      </c>
      <c r="G37" s="30" t="n">
        <v>5</v>
      </c>
      <c r="H37" s="30" t="inlineStr">
        <is>
          <t>2026-W26</t>
        </is>
      </c>
      <c r="I37" s="30" t="inlineStr">
        <is>
          <t>2026-W27</t>
        </is>
      </c>
      <c r="J37" s="30" t="inlineStr">
        <is>
          <t>V23-PAY-017</t>
        </is>
      </c>
      <c r="K37" s="34" t="inlineStr">
        <is>
          <t>未开始</t>
        </is>
      </c>
      <c r="L37" s="37" t="inlineStr">
        <is>
          <t>【目标】实现优惠策略和退款功能。
【运行命令】npm test -- --grep 'coupon refund'
【实现步骤】
1. 创建src/payment/coupons/CouponService.ts优惠服务
2. 实现优惠码的创建、验证和使用
3. 支持百分比折扣和固定金额折扣
4. 实现优惠码使用次数限制和过期时间
5. 创建src/payment/refunds/RefundService.ts退款服务
6. 实现全额退款和部分退款
【源文件路径】src/payment/coupons/CouponService.ts, src/payment/refunds/RefundService.ts
【测试文件路径】src/payment/__tests__/couponRefund.test.ts</t>
        </is>
      </c>
      <c r="M37" s="38" t="inlineStr">
        <is>
          <t>优惠策略与退款实现完成，支持折扣码和退款</t>
        </is>
      </c>
      <c r="N37" s="30" t="inlineStr"/>
    </row>
    <row r="38">
      <c r="A38" s="29" t="inlineStr">
        <is>
          <t>V23-PAY-019</t>
        </is>
      </c>
      <c r="B38" s="29" t="inlineStr">
        <is>
          <t>优惠策略与退款 - 验收</t>
        </is>
      </c>
      <c r="C38" s="29" t="inlineStr">
        <is>
          <t>Acceptance验收</t>
        </is>
      </c>
      <c r="D38" s="29" t="inlineStr">
        <is>
          <t>支付与订阅</t>
        </is>
      </c>
      <c r="E38" s="33" t="inlineStr">
        <is>
          <t>P0</t>
        </is>
      </c>
      <c r="F38" s="29" t="inlineStr">
        <is>
          <t>全栈</t>
        </is>
      </c>
      <c r="G38" s="29" t="n">
        <v>2</v>
      </c>
      <c r="H38" s="29" t="inlineStr">
        <is>
          <t>2026-W26</t>
        </is>
      </c>
      <c r="I38" s="29" t="inlineStr">
        <is>
          <t>2026-W27</t>
        </is>
      </c>
      <c r="J38" s="29" t="inlineStr">
        <is>
          <t>V23-PAY-018</t>
        </is>
      </c>
      <c r="K38" s="34" t="inlineStr">
        <is>
          <t>未开始</t>
        </is>
      </c>
      <c r="L38" s="35" t="inlineStr">
        <is>
          <t>【目标】验收优惠策略和退款功能的正确性。
【验收检查项】
1. 有效优惠码正确应用折扣
2. 过期优惠码被拒绝
3. 百分比和固定折扣计算正确
4. 全额退款成功处理
5. 部分退款金额正确
6. 退款后订阅状态正确更新
【运行命令】npm run test:e2e -- --grep 'coupon refund'</t>
        </is>
      </c>
      <c r="M38" s="36" t="inlineStr">
        <is>
          <t>优惠策略与退款验收通过，折扣和退款功能正确</t>
        </is>
      </c>
      <c r="N38" s="29" t="inlineStr"/>
    </row>
    <row r="39">
      <c r="A39" s="30" t="inlineStr">
        <is>
          <t>V23-PAY-020</t>
        </is>
      </c>
      <c r="B39" s="30" t="inlineStr">
        <is>
          <t>Stripe Webhook处理 - 测试</t>
        </is>
      </c>
      <c r="C39" s="30" t="inlineStr">
        <is>
          <t>Red测试</t>
        </is>
      </c>
      <c r="D39" s="30" t="inlineStr">
        <is>
          <t>支付与订阅</t>
        </is>
      </c>
      <c r="E39" s="33" t="inlineStr">
        <is>
          <t>P0</t>
        </is>
      </c>
      <c r="F39" s="30" t="inlineStr">
        <is>
          <t>后端</t>
        </is>
      </c>
      <c r="G39" s="30" t="n">
        <v>2</v>
      </c>
      <c r="H39" s="30" t="inlineStr">
        <is>
          <t>2026-W26</t>
        </is>
      </c>
      <c r="I39" s="30" t="inlineStr">
        <is>
          <t>2026-W27</t>
        </is>
      </c>
      <c r="J39" s="30" t="n"/>
      <c r="K39" s="34" t="inlineStr">
        <is>
          <t>未开始</t>
        </is>
      </c>
      <c r="L39" s="37" t="inlineStr">
        <is>
          <t>【目标】编写Stripe Webhook处理的测试用例。
【运行命令】npm test -- --grep 'stripe webhook'
【测试文件路径】src/payment/__tests__/stripeWebhook.test.ts
【测试用例清单】
1. test_verify_webhook_signature：Webhook签名验证通过
2. test_handle_payment_intent_succeeded：处理支付成功事件
3. test_handle_invoice_paid：处理发票支付事件
4. test_handle_customer_subscription_deleted：处理订阅取消事件
5. test_replay_webhook_idempotent：Webhook重放幂等处理
6. test_invalid_signature_rejected：无效签名被拒绝</t>
        </is>
      </c>
      <c r="M39" s="38" t="inlineStr">
        <is>
          <t>6个Stripe Webhook测试通过，覆盖签名验证和事件处理</t>
        </is>
      </c>
      <c r="N39" s="30" t="inlineStr"/>
    </row>
    <row r="40">
      <c r="A40" s="29" t="inlineStr">
        <is>
          <t>V23-PAY-021</t>
        </is>
      </c>
      <c r="B40" s="29" t="inlineStr">
        <is>
          <t>Stripe Webhook处理 - 实现与验收</t>
        </is>
      </c>
      <c r="C40" s="29" t="inlineStr">
        <is>
          <t>Green实现</t>
        </is>
      </c>
      <c r="D40" s="29" t="inlineStr">
        <is>
          <t>支付与订阅</t>
        </is>
      </c>
      <c r="E40" s="33" t="inlineStr">
        <is>
          <t>P0</t>
        </is>
      </c>
      <c r="F40" s="29" t="inlineStr">
        <is>
          <t>后端</t>
        </is>
      </c>
      <c r="G40" s="29" t="n">
        <v>5</v>
      </c>
      <c r="H40" s="29" t="inlineStr">
        <is>
          <t>2026-W26</t>
        </is>
      </c>
      <c r="I40" s="29" t="inlineStr">
        <is>
          <t>2026-W27</t>
        </is>
      </c>
      <c r="J40" s="29" t="inlineStr">
        <is>
          <t>V23-PAY-020</t>
        </is>
      </c>
      <c r="K40" s="34" t="inlineStr">
        <is>
          <t>未开始</t>
        </is>
      </c>
      <c r="L40" s="35" t="inlineStr">
        <is>
          <t>【目标】实现Stripe Webhook处理，确保所有支付事件正确处理。
【运行命令】npm test -- --grep 'stripe webhook'
【实现步骤】
1. 创建src/payment/webhook/WebhookHandler.ts
2. 实现签名验证中间件
3. 处理payment_intent.succeeded事件
4. 处理invoice.paid和invoice.payment_failed事件
5. 处理customer.subscription.*系列事件
6. 实现Webhook处理日志和重试机制
7. 添加Webhook端点健康检查
【验收检查项】
1. 所有支付事件正确处理
2. Webhook签名验证安全
3. 重放请求幂等处理
4. 处理失败自动重试
5. 日志完整可追踪
【源文件路径】src/payment/webhook/WebhookHandler.ts
【测试文件路径】src/payment/__tests__/stripeWebhook.test.ts</t>
        </is>
      </c>
      <c r="M40" s="36" t="inlineStr">
        <is>
          <t>Stripe Webhook处理实现并验收通过，事件处理完整可靠</t>
        </is>
      </c>
      <c r="N40" s="29" t="inlineStr"/>
    </row>
    <row r="41">
      <c r="A41" s="30" t="inlineStr">
        <is>
          <t>V23-DEP-001</t>
        </is>
      </c>
      <c r="B41" s="30" t="inlineStr">
        <is>
          <t>AWS多区域部署 - 测试</t>
        </is>
      </c>
      <c r="C41" s="30" t="inlineStr">
        <is>
          <t>Red测试</t>
        </is>
      </c>
      <c r="D41" s="30" t="inlineStr">
        <is>
          <t>全球部署</t>
        </is>
      </c>
      <c r="E41" s="33" t="inlineStr">
        <is>
          <t>P0</t>
        </is>
      </c>
      <c r="F41" s="30" t="inlineStr">
        <is>
          <t>DevOps</t>
        </is>
      </c>
      <c r="G41" s="30" t="n">
        <v>3</v>
      </c>
      <c r="H41" s="30" t="inlineStr">
        <is>
          <t>2026-W26</t>
        </is>
      </c>
      <c r="I41" s="30" t="inlineStr">
        <is>
          <t>2026-W27</t>
        </is>
      </c>
      <c r="J41" s="30" t="n"/>
      <c r="K41" s="34" t="inlineStr">
        <is>
          <t>未开始</t>
        </is>
      </c>
      <c r="L41" s="37" t="inlineStr">
        <is>
          <t>【目标】编写AWS多区域部署的基础设施测试。
【运行命令】cd infra &amp;&amp; pytest tests/test_multi_region.py -v
【测试文件路径】infra/tests/test_multi_region.py
【测试用例清单】
1. test_vpc_created_in_target_region：目标区域VPC创建成功
2. test_ecs_cluster_deployed：ECS集群在多区域部署成功
3. test_ecr_image_replicated：Docker镜像跨区域复制成功
4. test_route53_health_check：Route53健康检查配置正确
5. test_iam_role_cross_region：跨区域IAM角色权限正确</t>
        </is>
      </c>
      <c r="M41" s="38" t="inlineStr">
        <is>
          <t>5个AWS多区域部署测试通过，覆盖VPC、ECS、镜像复制和健康检查</t>
        </is>
      </c>
      <c r="N41" s="30" t="inlineStr"/>
    </row>
    <row r="42">
      <c r="A42" s="29" t="inlineStr">
        <is>
          <t>V23-DEP-002</t>
        </is>
      </c>
      <c r="B42" s="29" t="inlineStr">
        <is>
          <t>AWS多区域部署 - 实现</t>
        </is>
      </c>
      <c r="C42" s="29" t="inlineStr">
        <is>
          <t>Green实现</t>
        </is>
      </c>
      <c r="D42" s="29" t="inlineStr">
        <is>
          <t>全球部署</t>
        </is>
      </c>
      <c r="E42" s="33" t="inlineStr">
        <is>
          <t>P0</t>
        </is>
      </c>
      <c r="F42" s="29" t="inlineStr">
        <is>
          <t>DevOps</t>
        </is>
      </c>
      <c r="G42" s="29" t="n">
        <v>8</v>
      </c>
      <c r="H42" s="29" t="inlineStr">
        <is>
          <t>2026-W26</t>
        </is>
      </c>
      <c r="I42" s="29" t="inlineStr">
        <is>
          <t>2026-W27</t>
        </is>
      </c>
      <c r="J42" s="29" t="inlineStr">
        <is>
          <t>V23-DEP-001</t>
        </is>
      </c>
      <c r="K42" s="34" t="inlineStr">
        <is>
          <t>未开始</t>
        </is>
      </c>
      <c r="L42" s="35" t="inlineStr">
        <is>
          <t>【目标】实现AWS多区域部署，在us-east-1、eu-west-1、ap-northeast-1三区域部署服务。
【运行命令】cd infra &amp;&amp; terraform plan &amp;&amp; terraform apply
【实现步骤】
1. 创建infra/aws/multi-region/main.tf多区域Terraform配置
2. 在三个区域创建VPC、子网和安全组
3. 配置ECS Fargate集群和任务定义
4. 设置ECR跨区域镜像复制
5. 配置Route53多区域健康检查
6. 实现CI/CD流水线的多区域部署步骤
【源文件路径】infra/aws/multi-region/main.tf, infra/aws/multi-region/variables.tf
【测试文件路径】infra/tests/test_multi_region.py</t>
        </is>
      </c>
      <c r="M42" s="36" t="inlineStr">
        <is>
          <t>AWS多区域部署实现完成，三个区域服务可用</t>
        </is>
      </c>
      <c r="N42" s="29" t="inlineStr"/>
    </row>
    <row r="43">
      <c r="A43" s="30" t="inlineStr">
        <is>
          <t>V23-DEP-003</t>
        </is>
      </c>
      <c r="B43" s="30" t="inlineStr">
        <is>
          <t>AWS多区域部署 - 验收</t>
        </is>
      </c>
      <c r="C43" s="30" t="inlineStr">
        <is>
          <t>Acceptance验收</t>
        </is>
      </c>
      <c r="D43" s="30" t="inlineStr">
        <is>
          <t>全球部署</t>
        </is>
      </c>
      <c r="E43" s="33" t="inlineStr">
        <is>
          <t>P0</t>
        </is>
      </c>
      <c r="F43" s="30" t="inlineStr">
        <is>
          <t>DevOps</t>
        </is>
      </c>
      <c r="G43" s="30" t="n">
        <v>3</v>
      </c>
      <c r="H43" s="30" t="inlineStr">
        <is>
          <t>2026-W26</t>
        </is>
      </c>
      <c r="I43" s="30" t="inlineStr">
        <is>
          <t>2026-W27</t>
        </is>
      </c>
      <c r="J43" s="30" t="inlineStr">
        <is>
          <t>V23-DEP-002</t>
        </is>
      </c>
      <c r="K43" s="34" t="inlineStr">
        <is>
          <t>未开始</t>
        </is>
      </c>
      <c r="L43" s="37" t="inlineStr">
        <is>
          <t>【目标】验收AWS多区域部署的可用性和连通性。
【验收检查项】
1. 三个区域服务均可访问
2. 区域间延迟小于200ms
3. 单区域故障时自动切换
4. 镜像同步延迟小于5分钟
5. 安全组规则正确
【运行命令】cd infra &amp;&amp; pytest tests/test_multi_region.py -v &amp;&amp; ./scripts/verify-deployment.sh</t>
        </is>
      </c>
      <c r="M43" s="38" t="inlineStr">
        <is>
          <t>AWS多区域部署验收通过，三区域服务可用，故障切换正常</t>
        </is>
      </c>
      <c r="N43" s="30" t="inlineStr"/>
    </row>
    <row r="44">
      <c r="A44" s="29" t="inlineStr">
        <is>
          <t>V23-DEP-004</t>
        </is>
      </c>
      <c r="B44" s="29" t="inlineStr">
        <is>
          <t>CloudFront CDN配置 - 测试</t>
        </is>
      </c>
      <c r="C44" s="29" t="inlineStr">
        <is>
          <t>Red测试</t>
        </is>
      </c>
      <c r="D44" s="29" t="inlineStr">
        <is>
          <t>全球部署</t>
        </is>
      </c>
      <c r="E44" s="33" t="inlineStr">
        <is>
          <t>P0</t>
        </is>
      </c>
      <c r="F44" s="29" t="inlineStr">
        <is>
          <t>DevOps</t>
        </is>
      </c>
      <c r="G44" s="29" t="n">
        <v>2</v>
      </c>
      <c r="H44" s="29" t="inlineStr">
        <is>
          <t>2026-W26</t>
        </is>
      </c>
      <c r="I44" s="29" t="inlineStr">
        <is>
          <t>2026-W27</t>
        </is>
      </c>
      <c r="J44" s="29" t="n"/>
      <c r="K44" s="34" t="inlineStr">
        <is>
          <t>未开始</t>
        </is>
      </c>
      <c r="L44" s="35" t="inlineStr">
        <is>
          <t>【目标】编写CloudFront CDN配置的测试用例。
【运行命令】cd infra &amp;&amp; pytest tests/test_cloudfront.py -v
【测试文件路径】infra/tests/test_cloudfront.py
【测试用例清单】
1. test_cloudfront_distribution_created：CDN分发创建成功
2. test_origin_configured：源站配置正确
3. test_cache_behavior_static：静态资源缓存策略正确
4. test_cache_behavior_api：API缓存策略正确
5. test_ssl_certificate_attached：SSL证书附加成功
6. test_custom_domain_mapping：自定义域名映射正确</t>
        </is>
      </c>
      <c r="M44" s="36" t="inlineStr">
        <is>
          <t>6个CloudFront CDN测试通过，覆盖分发、缓存、SSL和域名</t>
        </is>
      </c>
      <c r="N44" s="29" t="inlineStr"/>
    </row>
    <row r="45">
      <c r="A45" s="30" t="inlineStr">
        <is>
          <t>V23-DEP-005</t>
        </is>
      </c>
      <c r="B45" s="30" t="inlineStr">
        <is>
          <t>CloudFront CDN配置 - 实现</t>
        </is>
      </c>
      <c r="C45" s="30" t="inlineStr">
        <is>
          <t>Green实现</t>
        </is>
      </c>
      <c r="D45" s="30" t="inlineStr">
        <is>
          <t>全球部署</t>
        </is>
      </c>
      <c r="E45" s="33" t="inlineStr">
        <is>
          <t>P0</t>
        </is>
      </c>
      <c r="F45" s="30" t="inlineStr">
        <is>
          <t>DevOps</t>
        </is>
      </c>
      <c r="G45" s="30" t="n">
        <v>6</v>
      </c>
      <c r="H45" s="30" t="inlineStr">
        <is>
          <t>2026-W26</t>
        </is>
      </c>
      <c r="I45" s="30" t="inlineStr">
        <is>
          <t>2026-W27</t>
        </is>
      </c>
      <c r="J45" s="30" t="inlineStr">
        <is>
          <t>V23-DEP-004</t>
        </is>
      </c>
      <c r="K45" s="34" t="inlineStr">
        <is>
          <t>未开始</t>
        </is>
      </c>
      <c r="L45" s="37" t="inlineStr">
        <is>
          <t>【目标】实现CloudFront CDN配置，加速全球静态资源和API访问。
【运行命令】cd infra &amp;&amp; terraform plan &amp;&amp; terraform apply
【实现步骤】
1. 创建infra/aws/cloudfront/main.tf CDN配置
2. 配置S3源站用于静态资源
3. 配置ALB源站用于API请求
4. 设置缓存行为：静态资源长缓存，API短缓存
5. 配置自定义错误页面
6. 附加ACM SSL证书
7. 配置自定义域名CNAME映射
【源文件路径】infra/aws/cloudfront/main.tf
【测试文件路径】infra/tests/test_cloudfront.py</t>
        </is>
      </c>
      <c r="M45" s="38" t="inlineStr">
        <is>
          <t>CloudFront CDN配置完成，静态资源和API加速生效</t>
        </is>
      </c>
      <c r="N45" s="30" t="inlineStr"/>
    </row>
    <row r="46">
      <c r="A46" s="29" t="inlineStr">
        <is>
          <t>V23-DEP-006</t>
        </is>
      </c>
      <c r="B46" s="29" t="inlineStr">
        <is>
          <t>CloudFront CDN配置 - 验收</t>
        </is>
      </c>
      <c r="C46" s="29" t="inlineStr">
        <is>
          <t>Acceptance验收</t>
        </is>
      </c>
      <c r="D46" s="29" t="inlineStr">
        <is>
          <t>全球部署</t>
        </is>
      </c>
      <c r="E46" s="33" t="inlineStr">
        <is>
          <t>P0</t>
        </is>
      </c>
      <c r="F46" s="29" t="inlineStr">
        <is>
          <t>DevOps</t>
        </is>
      </c>
      <c r="G46" s="29" t="n">
        <v>2</v>
      </c>
      <c r="H46" s="29" t="inlineStr">
        <is>
          <t>2026-W26</t>
        </is>
      </c>
      <c r="I46" s="29" t="inlineStr">
        <is>
          <t>2026-W27</t>
        </is>
      </c>
      <c r="J46" s="29" t="inlineStr">
        <is>
          <t>V23-DEP-005</t>
        </is>
      </c>
      <c r="K46" s="34" t="inlineStr">
        <is>
          <t>未开始</t>
        </is>
      </c>
      <c r="L46" s="35" t="inlineStr">
        <is>
          <t>【目标】验收CloudFront CDN配置的正确性和性能。
【验收检查项】
1. 静态资源通过CDN分发，缓存命中率&gt;90%
2. API请求正确路由到源站
3. HTTPS访问正常，SSL证书有效
4. 自定义域名解析正确
5. 全球各区域访问延迟降低&gt;50%
【运行命令】cd infra &amp;&amp; pytest tests/test_cloudfront.py -v &amp;&amp; ./scripts/verify-cdn.sh</t>
        </is>
      </c>
      <c r="M46" s="36" t="inlineStr">
        <is>
          <t>CloudFront CDN验收通过，全球加速效果显著</t>
        </is>
      </c>
      <c r="N46" s="29" t="inlineStr"/>
    </row>
    <row r="47">
      <c r="A47" s="30" t="inlineStr">
        <is>
          <t>V23-DEP-007</t>
        </is>
      </c>
      <c r="B47" s="30" t="inlineStr">
        <is>
          <t>Cloudflare DNS延迟路由 - 测试</t>
        </is>
      </c>
      <c r="C47" s="30" t="inlineStr">
        <is>
          <t>Red测试</t>
        </is>
      </c>
      <c r="D47" s="30" t="inlineStr">
        <is>
          <t>全球部署</t>
        </is>
      </c>
      <c r="E47" s="33" t="inlineStr">
        <is>
          <t>P0</t>
        </is>
      </c>
      <c r="F47" s="30" t="inlineStr">
        <is>
          <t>DevOps</t>
        </is>
      </c>
      <c r="G47" s="30" t="n">
        <v>2</v>
      </c>
      <c r="H47" s="30" t="inlineStr">
        <is>
          <t>2026-W26</t>
        </is>
      </c>
      <c r="I47" s="30" t="inlineStr">
        <is>
          <t>2026-W27</t>
        </is>
      </c>
      <c r="J47" s="30" t="n"/>
      <c r="K47" s="34" t="inlineStr">
        <is>
          <t>未开始</t>
        </is>
      </c>
      <c r="L47" s="37" t="inlineStr">
        <is>
          <t>【目标】编写Cloudflare DNS延迟路由的测试用例。
【运行命令】cd infra &amp;&amp; pytest tests/test_cloudflare.py -v
【测试文件路径】infra/tests/test_cloudflare.py
【测试用例清单】
1. test_dns_record_created：DNS记录创建成功
2. test_latency_based_routing：延迟路由配置正确
3. test_geo_dns_resolution：地理位置DNS解析正确
4. test_health_check_probes：健康检查探测正常
5. test_failover_routing：故障转移路由正确</t>
        </is>
      </c>
      <c r="M47" s="38" t="inlineStr">
        <is>
          <t>5个Cloudflare DNS测试通过，覆盖延迟路由和故障转移</t>
        </is>
      </c>
      <c r="N47" s="30" t="inlineStr"/>
    </row>
    <row r="48">
      <c r="A48" s="29" t="inlineStr">
        <is>
          <t>V23-DEP-008</t>
        </is>
      </c>
      <c r="B48" s="29" t="inlineStr">
        <is>
          <t>Cloudflare DNS延迟路由 - 实现</t>
        </is>
      </c>
      <c r="C48" s="29" t="inlineStr">
        <is>
          <t>Green实现</t>
        </is>
      </c>
      <c r="D48" s="29" t="inlineStr">
        <is>
          <t>全球部署</t>
        </is>
      </c>
      <c r="E48" s="33" t="inlineStr">
        <is>
          <t>P0</t>
        </is>
      </c>
      <c r="F48" s="29" t="inlineStr">
        <is>
          <t>DevOps</t>
        </is>
      </c>
      <c r="G48" s="29" t="n">
        <v>5</v>
      </c>
      <c r="H48" s="29" t="inlineStr">
        <is>
          <t>2026-W26</t>
        </is>
      </c>
      <c r="I48" s="29" t="inlineStr">
        <is>
          <t>2026-W27</t>
        </is>
      </c>
      <c r="J48" s="29" t="inlineStr">
        <is>
          <t>V23-DEP-007</t>
        </is>
      </c>
      <c r="K48" s="34" t="inlineStr">
        <is>
          <t>未开始</t>
        </is>
      </c>
      <c r="L48" s="35" t="inlineStr">
        <is>
          <t>【目标】实现Cloudflare DNS延迟路由，将用户引导到最近的区域。
【运行命令】cd infra &amp;&amp; python scripts/setup_cloudflare.py
【实现步骤】
1. 创建infra/cloudflare/dns.tf DNS配置
2. 配置三个区域的A记录指向各区域ALB
3. 启用Cloudflare延迟路由
4. 配置地理位置路由（亚洲/欧洲/美洲）
5. 设置健康检查探测各区域端点
6. 配置故障转移优先级
【源文件路径】infra/cloudflare/dns.tf, infra/cloudflare/variables.tf
【测试文件路径】infra/tests/test_cloudflare.py</t>
        </is>
      </c>
      <c r="M48" s="36" t="inlineStr">
        <is>
          <t>Cloudflare DNS延迟路由实现完成，用户自动引导到最近区域</t>
        </is>
      </c>
      <c r="N48" s="29" t="inlineStr"/>
    </row>
    <row r="49">
      <c r="A49" s="30" t="inlineStr">
        <is>
          <t>V23-DEP-009</t>
        </is>
      </c>
      <c r="B49" s="30" t="inlineStr">
        <is>
          <t>Cloudflare DNS延迟路由 - 验收</t>
        </is>
      </c>
      <c r="C49" s="30" t="inlineStr">
        <is>
          <t>Acceptance验收</t>
        </is>
      </c>
      <c r="D49" s="30" t="inlineStr">
        <is>
          <t>全球部署</t>
        </is>
      </c>
      <c r="E49" s="33" t="inlineStr">
        <is>
          <t>P0</t>
        </is>
      </c>
      <c r="F49" s="30" t="inlineStr">
        <is>
          <t>DevOps</t>
        </is>
      </c>
      <c r="G49" s="30" t="n">
        <v>2</v>
      </c>
      <c r="H49" s="30" t="inlineStr">
        <is>
          <t>2026-W26</t>
        </is>
      </c>
      <c r="I49" s="30" t="inlineStr">
        <is>
          <t>2026-W27</t>
        </is>
      </c>
      <c r="J49" s="30" t="inlineStr">
        <is>
          <t>V23-DEP-008</t>
        </is>
      </c>
      <c r="K49" s="34" t="inlineStr">
        <is>
          <t>未开始</t>
        </is>
      </c>
      <c r="L49" s="37" t="inlineStr">
        <is>
          <t>【目标】验收Cloudflare DNS延迟路由的效果。
【验收检查项】
1. 亚洲用户解析到ap-northeast-1
2. 欧洲用户解析到eu-west-1
3. 美洲用户解析到us-east-1
4. 单区域故障时自动切换到健康区域
5. DNS解析延迟小于50ms
【运行命令】cd infra &amp;&amp; pytest tests/test_cloudflare.py -v &amp;&amp; ./scripts/verify-dns.sh</t>
        </is>
      </c>
      <c r="M49" s="38" t="inlineStr">
        <is>
          <t>Cloudflare DNS延迟路由验收通过，地理路由和故障转移正确</t>
        </is>
      </c>
      <c r="N49" s="30" t="inlineStr"/>
    </row>
    <row r="50">
      <c r="A50" s="29" t="inlineStr">
        <is>
          <t>V23-DEP-010</t>
        </is>
      </c>
      <c r="B50" s="29" t="inlineStr">
        <is>
          <t>多区域数据库 - 测试</t>
        </is>
      </c>
      <c r="C50" s="29" t="inlineStr">
        <is>
          <t>Red测试</t>
        </is>
      </c>
      <c r="D50" s="29" t="inlineStr">
        <is>
          <t>全球部署</t>
        </is>
      </c>
      <c r="E50" s="33" t="inlineStr">
        <is>
          <t>P0</t>
        </is>
      </c>
      <c r="F50" s="29" t="inlineStr">
        <is>
          <t>后端</t>
        </is>
      </c>
      <c r="G50" s="29" t="n">
        <v>3</v>
      </c>
      <c r="H50" s="29" t="inlineStr">
        <is>
          <t>2026-W26</t>
        </is>
      </c>
      <c r="I50" s="29" t="inlineStr">
        <is>
          <t>2026-W27</t>
        </is>
      </c>
      <c r="J50" s="29" t="n"/>
      <c r="K50" s="34" t="inlineStr">
        <is>
          <t>未开始</t>
        </is>
      </c>
      <c r="L50" s="35" t="inlineStr">
        <is>
          <t>【目标】编写多区域数据库的测试用例。
【运行命令】npm test -- --grep 'multi-region database'
【测试文件路径】src/db/__tests__/multiRegionDb.test.ts
【测试用例清单】
1. test_primary_replica_sync：主从数据库同步正确
2. test_read_from_local_replica：从本地副本读取数据
3. test_write_to_primary：写入操作路由到主库
4. test_cross_region_replication_lag：跨区域复制延迟可接受
5. test_failover_to_replica：主库故障时切换到副本</t>
        </is>
      </c>
      <c r="M50" s="36" t="inlineStr">
        <is>
          <t>5个多区域数据库测试通过，覆盖同步、读写分离和故障切换</t>
        </is>
      </c>
      <c r="N50" s="29" t="inlineStr"/>
    </row>
    <row r="51">
      <c r="A51" s="30" t="inlineStr">
        <is>
          <t>V23-DEP-011</t>
        </is>
      </c>
      <c r="B51" s="30" t="inlineStr">
        <is>
          <t>多区域数据库 - 实现</t>
        </is>
      </c>
      <c r="C51" s="30" t="inlineStr">
        <is>
          <t>Green实现</t>
        </is>
      </c>
      <c r="D51" s="30" t="inlineStr">
        <is>
          <t>全球部署</t>
        </is>
      </c>
      <c r="E51" s="33" t="inlineStr">
        <is>
          <t>P0</t>
        </is>
      </c>
      <c r="F51" s="30" t="inlineStr">
        <is>
          <t>后端</t>
        </is>
      </c>
      <c r="G51" s="30" t="n">
        <v>8</v>
      </c>
      <c r="H51" s="30" t="inlineStr">
        <is>
          <t>2026-W26</t>
        </is>
      </c>
      <c r="I51" s="30" t="inlineStr">
        <is>
          <t>2026-W27</t>
        </is>
      </c>
      <c r="J51" s="30" t="inlineStr">
        <is>
          <t>V23-DEP-010</t>
        </is>
      </c>
      <c r="K51" s="34" t="inlineStr">
        <is>
          <t>未开始</t>
        </is>
      </c>
      <c r="L51" s="37" t="inlineStr">
        <is>
          <t>【目标】实现多区域数据库，支持跨区域数据同步和读写分离。
【运行命令】npm test -- --grep 'multi-region database'
【实现步骤】
1. 配置Aurora Global Database，主区域us-east-1
2. 添加eu-west-1和ap-northeast-1为副本区域
3. 实现数据库连接池的路由逻辑
4. 写操作路由到主库，读操作路由到本地副本
5. 配置复制延迟监控和告警
6. 实现主库故障时的自动切换
【源文件路径】src/db/MultiRegionDataSource.ts, infra/aws/rds/global-db.tf
【测试文件路径】src/db/__tests__/multiRegionDb.test.ts</t>
        </is>
      </c>
      <c r="M51" s="38" t="inlineStr">
        <is>
          <t>多区域数据库实现完成，读写分离和跨区域同步正常</t>
        </is>
      </c>
      <c r="N51" s="30" t="inlineStr"/>
    </row>
    <row r="52">
      <c r="A52" s="29" t="inlineStr">
        <is>
          <t>V23-DEP-012</t>
        </is>
      </c>
      <c r="B52" s="29" t="inlineStr">
        <is>
          <t>多区域数据库 - 验收</t>
        </is>
      </c>
      <c r="C52" s="29" t="inlineStr">
        <is>
          <t>Acceptance验收</t>
        </is>
      </c>
      <c r="D52" s="29" t="inlineStr">
        <is>
          <t>全球部署</t>
        </is>
      </c>
      <c r="E52" s="33" t="inlineStr">
        <is>
          <t>P0</t>
        </is>
      </c>
      <c r="F52" s="29" t="inlineStr">
        <is>
          <t>后端</t>
        </is>
      </c>
      <c r="G52" s="29" t="n">
        <v>3</v>
      </c>
      <c r="H52" s="29" t="inlineStr">
        <is>
          <t>2026-W26</t>
        </is>
      </c>
      <c r="I52" s="29" t="inlineStr">
        <is>
          <t>2026-W27</t>
        </is>
      </c>
      <c r="J52" s="29" t="inlineStr">
        <is>
          <t>V23-DEP-011</t>
        </is>
      </c>
      <c r="K52" s="34" t="inlineStr">
        <is>
          <t>未开始</t>
        </is>
      </c>
      <c r="L52" s="35" t="inlineStr">
        <is>
          <t>【目标】验收多区域数据库的正确性和性能。
【验收检查项】
1. 主从数据同步延迟小于1秒
2. 读操作从本地副本执行
3. 写操作路由到主库
4. 主库故障时30秒内切换到副本
5. 数据一致性保证
【运行命令】npm run test:e2e -- --grep 'multi-region database'</t>
        </is>
      </c>
      <c r="M52" s="36" t="inlineStr">
        <is>
          <t>多区域数据库验收通过，同步延迟和故障切换达标</t>
        </is>
      </c>
      <c r="N52" s="29" t="inlineStr"/>
    </row>
    <row r="53">
      <c r="A53" s="30" t="inlineStr">
        <is>
          <t>V23-DEP-013</t>
        </is>
      </c>
      <c r="B53" s="30" t="inlineStr">
        <is>
          <t>全球负载均衡 - 测试</t>
        </is>
      </c>
      <c r="C53" s="30" t="inlineStr">
        <is>
          <t>Red测试</t>
        </is>
      </c>
      <c r="D53" s="30" t="inlineStr">
        <is>
          <t>全球部署</t>
        </is>
      </c>
      <c r="E53" s="33" t="inlineStr">
        <is>
          <t>P0</t>
        </is>
      </c>
      <c r="F53" s="30" t="inlineStr">
        <is>
          <t>DevOps</t>
        </is>
      </c>
      <c r="G53" s="30" t="n">
        <v>2</v>
      </c>
      <c r="H53" s="30" t="inlineStr">
        <is>
          <t>2026-W26</t>
        </is>
      </c>
      <c r="I53" s="30" t="inlineStr">
        <is>
          <t>2026-W27</t>
        </is>
      </c>
      <c r="J53" s="30" t="n"/>
      <c r="K53" s="34" t="inlineStr">
        <is>
          <t>未开始</t>
        </is>
      </c>
      <c r="L53" s="37" t="inlineStr">
        <is>
          <t>【目标】编写全球负载均衡的测试用例。
【运行命令】cd infra &amp;&amp; pytest tests/test_load_balancer.py -v
【测试文件路径】infra/tests/test_load_balancer.py
【测试用例清单】
1. test_alb_created_in_each_region：各区域ALB创建成功
2. test_target_group_health_check：目标组健康检查通过
3. test_traffic_distribution：流量分配比例正确
4. test_sticky_sessions：会话保持配置正确
5. test_connection_draining：连接排空配置正确</t>
        </is>
      </c>
      <c r="M53" s="38" t="inlineStr">
        <is>
          <t>5个全球负载均衡测试通过，覆盖ALB、健康检查和流量分配</t>
        </is>
      </c>
      <c r="N53" s="30" t="inlineStr"/>
    </row>
    <row r="54">
      <c r="A54" s="29" t="inlineStr">
        <is>
          <t>V23-DEP-014</t>
        </is>
      </c>
      <c r="B54" s="29" t="inlineStr">
        <is>
          <t>全球负载均衡 - 实现</t>
        </is>
      </c>
      <c r="C54" s="29" t="inlineStr">
        <is>
          <t>Green实现</t>
        </is>
      </c>
      <c r="D54" s="29" t="inlineStr">
        <is>
          <t>全球部署</t>
        </is>
      </c>
      <c r="E54" s="33" t="inlineStr">
        <is>
          <t>P0</t>
        </is>
      </c>
      <c r="F54" s="29" t="inlineStr">
        <is>
          <t>DevOps</t>
        </is>
      </c>
      <c r="G54" s="29" t="n">
        <v>6</v>
      </c>
      <c r="H54" s="29" t="inlineStr">
        <is>
          <t>2026-W26</t>
        </is>
      </c>
      <c r="I54" s="29" t="inlineStr">
        <is>
          <t>2026-W27</t>
        </is>
      </c>
      <c r="J54" s="29" t="inlineStr">
        <is>
          <t>V23-DEP-013</t>
        </is>
      </c>
      <c r="K54" s="34" t="inlineStr">
        <is>
          <t>未开始</t>
        </is>
      </c>
      <c r="L54" s="35" t="inlineStr">
        <is>
          <t>【目标】实现全球负载均衡，确保流量在各区域均匀分配。
【运行命令】cd infra &amp;&amp; terraform plan &amp;&amp; terraform apply
【实现步骤】
1. 创建各区域Application Load Balancer
2. 配置目标组和健康检查
3. 设置基于权重的流量分配策略
4. 配置会话保持（Sticky Session）
5. 实现连接排空（Connection Draining）
6. 配置请求速率限制和WAF规则
【源文件路径】infra/aws/loadbalancer/main.tf
【测试文件路径】infra/tests/test_load_balancer.py</t>
        </is>
      </c>
      <c r="M54" s="36" t="inlineStr">
        <is>
          <t>全球负载均衡实现完成，流量分配和健康检查正常</t>
        </is>
      </c>
      <c r="N54" s="29" t="inlineStr"/>
    </row>
    <row r="55">
      <c r="A55" s="30" t="inlineStr">
        <is>
          <t>V23-DEP-015</t>
        </is>
      </c>
      <c r="B55" s="30" t="inlineStr">
        <is>
          <t>全球负载均衡 - 验收</t>
        </is>
      </c>
      <c r="C55" s="30" t="inlineStr">
        <is>
          <t>Acceptance验收</t>
        </is>
      </c>
      <c r="D55" s="30" t="inlineStr">
        <is>
          <t>全球部署</t>
        </is>
      </c>
      <c r="E55" s="33" t="inlineStr">
        <is>
          <t>P0</t>
        </is>
      </c>
      <c r="F55" s="30" t="inlineStr">
        <is>
          <t>DevOps</t>
        </is>
      </c>
      <c r="G55" s="30" t="n">
        <v>2</v>
      </c>
      <c r="H55" s="30" t="inlineStr">
        <is>
          <t>2026-W26</t>
        </is>
      </c>
      <c r="I55" s="30" t="inlineStr">
        <is>
          <t>2026-W27</t>
        </is>
      </c>
      <c r="J55" s="30" t="inlineStr">
        <is>
          <t>V23-DEP-014</t>
        </is>
      </c>
      <c r="K55" s="34" t="inlineStr">
        <is>
          <t>未开始</t>
        </is>
      </c>
      <c r="L55" s="37" t="inlineStr">
        <is>
          <t>【目标】验收全球负载均衡的效果。
【验收检查项】
1. 各区域ALB健康检查通过
2. 流量按权重正确分配
3. 会话保持生效
4. 后端实例故障时自动摘除
5. 连接排空期间无请求丢失
【运行命令】cd infra &amp;&amp; pytest tests/test_load_balancer.py -v &amp;&amp; ./scripts/verify-lb.sh</t>
        </is>
      </c>
      <c r="M55" s="38" t="inlineStr">
        <is>
          <t>全球负载均衡验收通过，流量分配和故障处理正确</t>
        </is>
      </c>
      <c r="N55" s="30" t="inlineStr"/>
    </row>
    <row r="56">
      <c r="A56" s="29" t="inlineStr">
        <is>
          <t>V23-COM-001</t>
        </is>
      </c>
      <c r="B56" s="29" t="inlineStr">
        <is>
          <t>GDPR数据导出API - 测试</t>
        </is>
      </c>
      <c r="C56" s="29" t="inlineStr">
        <is>
          <t>Red测试</t>
        </is>
      </c>
      <c r="D56" s="29" t="inlineStr">
        <is>
          <t>合规与法律</t>
        </is>
      </c>
      <c r="E56" s="33" t="inlineStr">
        <is>
          <t>P0</t>
        </is>
      </c>
      <c r="F56" s="29" t="inlineStr">
        <is>
          <t>后端</t>
        </is>
      </c>
      <c r="G56" s="29" t="n">
        <v>3</v>
      </c>
      <c r="H56" s="29" t="inlineStr">
        <is>
          <t>2026-W26</t>
        </is>
      </c>
      <c r="I56" s="29" t="inlineStr">
        <is>
          <t>2026-W27</t>
        </is>
      </c>
      <c r="J56" s="29" t="n"/>
      <c r="K56" s="34" t="inlineStr">
        <is>
          <t>未开始</t>
        </is>
      </c>
      <c r="L56" s="35" t="inlineStr">
        <is>
          <t>【目标】编写GDPR数据导出API的测试用例。
【运行命令】npm test -- --grep 'GDPR export'
【测试文件路径】src/compliance/__tests__/gdprExport.test.ts
【测试用例清单】
1. test_export_request_creates_job：数据导出请求创建导出任务
2. test_export_includes_all_user_data：导出包含所有用户数据
3. test_export_format_is_json：导出格式为标准JSON
4. test_export_email_notification：导出完成后发送邮件通知
5. test_export_link_expires_after_7_days：导出链接7天后过期
6. test_export_rate_limiting：导出请求限流正确</t>
        </is>
      </c>
      <c r="M56" s="36" t="inlineStr">
        <is>
          <t>6个GDPR数据导出测试通过，覆盖导出流程、格式和通知</t>
        </is>
      </c>
      <c r="N56" s="29" t="inlineStr"/>
    </row>
    <row r="57">
      <c r="A57" s="30" t="inlineStr">
        <is>
          <t>V23-COM-002</t>
        </is>
      </c>
      <c r="B57" s="30" t="inlineStr">
        <is>
          <t>GDPR数据导出API - 实现</t>
        </is>
      </c>
      <c r="C57" s="30" t="inlineStr">
        <is>
          <t>Green实现</t>
        </is>
      </c>
      <c r="D57" s="30" t="inlineStr">
        <is>
          <t>合规与法律</t>
        </is>
      </c>
      <c r="E57" s="33" t="inlineStr">
        <is>
          <t>P0</t>
        </is>
      </c>
      <c r="F57" s="30" t="inlineStr">
        <is>
          <t>后端</t>
        </is>
      </c>
      <c r="G57" s="30" t="n">
        <v>6</v>
      </c>
      <c r="H57" s="30" t="inlineStr">
        <is>
          <t>2026-W26</t>
        </is>
      </c>
      <c r="I57" s="30" t="inlineStr">
        <is>
          <t>2026-W27</t>
        </is>
      </c>
      <c r="J57" s="30" t="inlineStr">
        <is>
          <t>V23-COM-001</t>
        </is>
      </c>
      <c r="K57" s="34" t="inlineStr">
        <is>
          <t>未开始</t>
        </is>
      </c>
      <c r="L57" s="37" t="inlineStr">
        <is>
          <t>【目标】实现GDPR数据导出API，支持用户数据可携带权。
【运行命令】npm test -- --grep 'GDPR export'
【实现步骤】
1. 创建src/compliance/gdpr/DataExportService.ts
2. 实现POST /api/gdpr/export请求数据导出
3. 收集用户所有数据：个人信息、作品、设置、支付记录
4. 生成标准JSON格式导出文件
5. 上传到S3并生成临时下载链接
6. 发送包含下载链接的邮件通知
7. 实现7天过期自动清理
【源文件路径】src/compliance/gdpr/DataExportService.ts
【测试文件路径】src/compliance/__tests__/gdprExport.test.ts</t>
        </is>
      </c>
      <c r="M57" s="38" t="inlineStr">
        <is>
          <t>GDPR数据导出API实现完成，支持完整数据导出</t>
        </is>
      </c>
      <c r="N57" s="30" t="inlineStr"/>
    </row>
    <row r="58">
      <c r="A58" s="29" t="inlineStr">
        <is>
          <t>V23-COM-003</t>
        </is>
      </c>
      <c r="B58" s="29" t="inlineStr">
        <is>
          <t>GDPR数据导出API - 验收</t>
        </is>
      </c>
      <c r="C58" s="29" t="inlineStr">
        <is>
          <t>Acceptance验收</t>
        </is>
      </c>
      <c r="D58" s="29" t="inlineStr">
        <is>
          <t>合规与法律</t>
        </is>
      </c>
      <c r="E58" s="33" t="inlineStr">
        <is>
          <t>P0</t>
        </is>
      </c>
      <c r="F58" s="29" t="inlineStr">
        <is>
          <t>后端</t>
        </is>
      </c>
      <c r="G58" s="29" t="n">
        <v>2</v>
      </c>
      <c r="H58" s="29" t="inlineStr">
        <is>
          <t>2026-W26</t>
        </is>
      </c>
      <c r="I58" s="29" t="inlineStr">
        <is>
          <t>2026-W27</t>
        </is>
      </c>
      <c r="J58" s="29" t="inlineStr">
        <is>
          <t>V23-COM-002</t>
        </is>
      </c>
      <c r="K58" s="34" t="inlineStr">
        <is>
          <t>未开始</t>
        </is>
      </c>
      <c r="L58" s="35" t="inlineStr">
        <is>
          <t>【目标】验收GDPR数据导出API的合规性。
【验收检查项】
1. 导出数据包含所有用户相关数据
2. 导出格式符合GDPR标准
3. 导出链接7天后自动失效
4. 邮件通知及时发送
5. 导出请求限流生效
6. 敏感数据脱敏处理
【运行命令】npm run test:e2e -- --grep 'gdpr export'</t>
        </is>
      </c>
      <c r="M58" s="36" t="inlineStr">
        <is>
          <t>GDPR数据导出API验收通过，符合GDPR合规要求</t>
        </is>
      </c>
      <c r="N58" s="29" t="inlineStr"/>
    </row>
    <row r="59">
      <c r="A59" s="30" t="inlineStr">
        <is>
          <t>V23-COM-004</t>
        </is>
      </c>
      <c r="B59" s="30" t="inlineStr">
        <is>
          <t>GDPR数据删除API - 测试</t>
        </is>
      </c>
      <c r="C59" s="30" t="inlineStr">
        <is>
          <t>Red测试</t>
        </is>
      </c>
      <c r="D59" s="30" t="inlineStr">
        <is>
          <t>合规与法律</t>
        </is>
      </c>
      <c r="E59" s="33" t="inlineStr">
        <is>
          <t>P0</t>
        </is>
      </c>
      <c r="F59" s="30" t="inlineStr">
        <is>
          <t>后端</t>
        </is>
      </c>
      <c r="G59" s="30" t="n">
        <v>3</v>
      </c>
      <c r="H59" s="30" t="inlineStr">
        <is>
          <t>2026-W26</t>
        </is>
      </c>
      <c r="I59" s="30" t="inlineStr">
        <is>
          <t>2026-W27</t>
        </is>
      </c>
      <c r="J59" s="30" t="n"/>
      <c r="K59" s="34" t="inlineStr">
        <is>
          <t>未开始</t>
        </is>
      </c>
      <c r="L59" s="37" t="inlineStr">
        <is>
          <t>【目标】编写GDPR数据删除API的测试用例。
【运行命令】npm test -- --grep 'GDPR delete'
【测试文件路径】src/compliance/__tests__/gdprDelete.test.ts
【测试用例清单】
1. test_delete_request_creates_ticket：删除请求创建工单
2. test_delete_removes_all_user_data：删除清除所有用户数据
3. test_delete_cascades_to_related_data：级联删除关联数据
4. test_delete_confirmation_email：删除后发送确认邮件
5. test_delete_grace_period：30天宽限期内可撤销
6. test_delete_audit_log：删除操作记录审计日志</t>
        </is>
      </c>
      <c r="M59" s="38" t="inlineStr">
        <is>
          <t>6个GDPR数据删除测试通过，覆盖删除流程、级联和审计</t>
        </is>
      </c>
      <c r="N59" s="30" t="inlineStr"/>
    </row>
    <row r="60">
      <c r="A60" s="29" t="inlineStr">
        <is>
          <t>V23-COM-005</t>
        </is>
      </c>
      <c r="B60" s="29" t="inlineStr">
        <is>
          <t>GDPR数据删除API - 实现</t>
        </is>
      </c>
      <c r="C60" s="29" t="inlineStr">
        <is>
          <t>Green实现</t>
        </is>
      </c>
      <c r="D60" s="29" t="inlineStr">
        <is>
          <t>合规与法律</t>
        </is>
      </c>
      <c r="E60" s="33" t="inlineStr">
        <is>
          <t>P0</t>
        </is>
      </c>
      <c r="F60" s="29" t="inlineStr">
        <is>
          <t>后端</t>
        </is>
      </c>
      <c r="G60" s="29" t="n">
        <v>6</v>
      </c>
      <c r="H60" s="29" t="inlineStr">
        <is>
          <t>2026-W26</t>
        </is>
      </c>
      <c r="I60" s="29" t="inlineStr">
        <is>
          <t>2026-W27</t>
        </is>
      </c>
      <c r="J60" s="29" t="inlineStr">
        <is>
          <t>V23-COM-004</t>
        </is>
      </c>
      <c r="K60" s="34" t="inlineStr">
        <is>
          <t>未开始</t>
        </is>
      </c>
      <c r="L60" s="35" t="inlineStr">
        <is>
          <t>【目标】实现GDPR数据删除API，支持用户被遗忘权。
【运行命令】npm test -- --grep 'GDPR delete'
【实现步骤】
1. 创建src/compliance/gdpr/DataDeleteService.ts
2. 实现POST /api/gdpr/delete请求数据删除
3. 实现30天宽限期机制，期间可撤销
4. 确认删除后级联清除所有关联数据
5. 清除Redis缓存中的用户数据
6. 记录完整的审计日志
7. 发送删除确认邮件
【源文件路径】src/compliance/gdpr/DataDeleteService.ts
【测试文件路径】src/compliance/__tests__/gdprDelete.test.ts</t>
        </is>
      </c>
      <c r="M60" s="36" t="inlineStr">
        <is>
          <t>GDPR数据删除API实现完成，支持被遗忘权</t>
        </is>
      </c>
      <c r="N60" s="29" t="inlineStr"/>
    </row>
    <row r="61">
      <c r="A61" s="30" t="inlineStr">
        <is>
          <t>V23-COM-006</t>
        </is>
      </c>
      <c r="B61" s="30" t="inlineStr">
        <is>
          <t>GDPR数据删除API - 验收</t>
        </is>
      </c>
      <c r="C61" s="30" t="inlineStr">
        <is>
          <t>Acceptance验收</t>
        </is>
      </c>
      <c r="D61" s="30" t="inlineStr">
        <is>
          <t>合规与法律</t>
        </is>
      </c>
      <c r="E61" s="33" t="inlineStr">
        <is>
          <t>P0</t>
        </is>
      </c>
      <c r="F61" s="30" t="inlineStr">
        <is>
          <t>后端</t>
        </is>
      </c>
      <c r="G61" s="30" t="n">
        <v>2</v>
      </c>
      <c r="H61" s="30" t="inlineStr">
        <is>
          <t>2026-W26</t>
        </is>
      </c>
      <c r="I61" s="30" t="inlineStr">
        <is>
          <t>2026-W27</t>
        </is>
      </c>
      <c r="J61" s="30" t="inlineStr">
        <is>
          <t>V23-COM-005</t>
        </is>
      </c>
      <c r="K61" s="34" t="inlineStr">
        <is>
          <t>未开始</t>
        </is>
      </c>
      <c r="L61" s="37" t="inlineStr">
        <is>
          <t>【目标】验收GDPR数据删除API的合规性。
【验收检查项】
1. 删除后所有用户数据不可恢复
2. 关联数据（作品、评论、支付记录）全部清除
3. 30天宽限期机制正常
4. 审计日志完整记录删除操作
5. 缓存数据同步清除
6. 确认邮件及时发送
【运行命令】npm run test:e2e -- --grep 'gdpr delete'</t>
        </is>
      </c>
      <c r="M61" s="38" t="inlineStr">
        <is>
          <t>GDPR数据删除API验收通过，符合GDPR被遗忘权要求</t>
        </is>
      </c>
      <c r="N61" s="30" t="inlineStr"/>
    </row>
    <row r="62">
      <c r="A62" s="29" t="inlineStr">
        <is>
          <t>V23-COM-007</t>
        </is>
      </c>
      <c r="B62" s="29" t="inlineStr">
        <is>
          <t>Cookie Consent管理 - 测试</t>
        </is>
      </c>
      <c r="C62" s="29" t="inlineStr">
        <is>
          <t>Red测试</t>
        </is>
      </c>
      <c r="D62" s="29" t="inlineStr">
        <is>
          <t>合规与法律</t>
        </is>
      </c>
      <c r="E62" s="33" t="inlineStr">
        <is>
          <t>P0</t>
        </is>
      </c>
      <c r="F62" s="29" t="inlineStr">
        <is>
          <t>前端</t>
        </is>
      </c>
      <c r="G62" s="29" t="n">
        <v>2</v>
      </c>
      <c r="H62" s="29" t="inlineStr">
        <is>
          <t>2026-W26</t>
        </is>
      </c>
      <c r="I62" s="29" t="inlineStr">
        <is>
          <t>2026-W27</t>
        </is>
      </c>
      <c r="J62" s="29" t="n"/>
      <c r="K62" s="34" t="inlineStr">
        <is>
          <t>未开始</t>
        </is>
      </c>
      <c r="L62" s="35" t="inlineStr">
        <is>
          <t>【目标】编写Cookie Consent管理的测试用例。
【运行命令】npm test -- --grep 'cookie consent'
【测试文件路径】src/compliance/__tests__/cookieConsent.test.tsx
【测试用例清单】
1. test_consent_banner_shows_on_first_visit：首次访问显示Cookie横幅
2. test_accept_all_cookies：接受全部Cookie后横幅消失
3. test_reject_optional_cookies：拒绝可选Cookie后仅设置必要Cookie
4. test_consent_preferences_saved：偏好设置保存到localStorage
5. test_consent_banner_not_shown_after_accept：接受后不再显示横幅
6. test_manage_consent_settings：可修改已保存的偏好设置</t>
        </is>
      </c>
      <c r="M62" s="36" t="inlineStr">
        <is>
          <t>6个Cookie Consent测试通过，覆盖横幅显示、接受/拒绝和偏好管理</t>
        </is>
      </c>
      <c r="N62" s="29" t="inlineStr"/>
    </row>
    <row r="63">
      <c r="A63" s="30" t="inlineStr">
        <is>
          <t>V23-COM-008</t>
        </is>
      </c>
      <c r="B63" s="30" t="inlineStr">
        <is>
          <t>Cookie Consent管理 - 实现</t>
        </is>
      </c>
      <c r="C63" s="30" t="inlineStr">
        <is>
          <t>Green实现</t>
        </is>
      </c>
      <c r="D63" s="30" t="inlineStr">
        <is>
          <t>合规与法律</t>
        </is>
      </c>
      <c r="E63" s="33" t="inlineStr">
        <is>
          <t>P0</t>
        </is>
      </c>
      <c r="F63" s="30" t="inlineStr">
        <is>
          <t>前端</t>
        </is>
      </c>
      <c r="G63" s="30" t="n">
        <v>4</v>
      </c>
      <c r="H63" s="30" t="inlineStr">
        <is>
          <t>2026-W26</t>
        </is>
      </c>
      <c r="I63" s="30" t="inlineStr">
        <is>
          <t>2026-W27</t>
        </is>
      </c>
      <c r="J63" s="30" t="inlineStr">
        <is>
          <t>V23-COM-007</t>
        </is>
      </c>
      <c r="K63" s="34" t="inlineStr">
        <is>
          <t>未开始</t>
        </is>
      </c>
      <c r="L63" s="37" t="inlineStr">
        <is>
          <t>【目标】实现Cookie Consent管理，符合GDPR Cookie要求。
【运行命令】npm test -- --grep 'cookie consent'
【实现步骤】
1. 创建src/compliance/cookies/CookieConsentBanner.tsx
2. 实现Cookie分类：必要/分析/营销/功能
3. 创建useCookieConsent hook管理Cookie偏好
4. 实现偏好设置持久化到localStorage
5. 根据偏好控制第三方Cookie的设置
6. 创建Cookie偏好管理面板
【源文件路径】src/compliance/cookies/CookieConsentBanner.tsx, src/compliance/cookies/useCookieConsent.ts
【测试文件路径】src/compliance/__tests__/cookieConsent.test.tsx</t>
        </is>
      </c>
      <c r="M63" s="38" t="inlineStr">
        <is>
          <t>Cookie Consent管理实现完成，符合GDPR要求</t>
        </is>
      </c>
      <c r="N63" s="30" t="inlineStr"/>
    </row>
    <row r="64">
      <c r="A64" s="29" t="inlineStr">
        <is>
          <t>V23-COM-009</t>
        </is>
      </c>
      <c r="B64" s="29" t="inlineStr">
        <is>
          <t>Cookie Consent管理 - 验收</t>
        </is>
      </c>
      <c r="C64" s="29" t="inlineStr">
        <is>
          <t>Acceptance验收</t>
        </is>
      </c>
      <c r="D64" s="29" t="inlineStr">
        <is>
          <t>合规与法律</t>
        </is>
      </c>
      <c r="E64" s="33" t="inlineStr">
        <is>
          <t>P0</t>
        </is>
      </c>
      <c r="F64" s="29" t="inlineStr">
        <is>
          <t>前端</t>
        </is>
      </c>
      <c r="G64" s="29" t="n">
        <v>2</v>
      </c>
      <c r="H64" s="29" t="inlineStr">
        <is>
          <t>2026-W26</t>
        </is>
      </c>
      <c r="I64" s="29" t="inlineStr">
        <is>
          <t>2026-W27</t>
        </is>
      </c>
      <c r="J64" s="29" t="inlineStr">
        <is>
          <t>V23-COM-008</t>
        </is>
      </c>
      <c r="K64" s="34" t="inlineStr">
        <is>
          <t>未开始</t>
        </is>
      </c>
      <c r="L64" s="35" t="inlineStr">
        <is>
          <t>【目标】验收Cookie Consent管理的合规性。
【验收检查项】
1. 首次访问显示Cookie同意横幅
2. 接受/拒绝操作正确设置Cookie
3. 偏好设置持久化保存
4. 拒绝可选Cookie后不设置对应Cookie
5. 可随时修改偏好设置
6. 横幅UI符合GDPR设计规范
【运行命令】npm run test:e2e -- --grep 'cookie consent'</t>
        </is>
      </c>
      <c r="M64" s="36" t="inlineStr">
        <is>
          <t>Cookie Consent管理验收通过，符合GDPR Cookie合规要求</t>
        </is>
      </c>
      <c r="N64" s="29" t="inlineStr"/>
    </row>
    <row r="65">
      <c r="A65" s="30" t="inlineStr">
        <is>
          <t>V23-COM-010</t>
        </is>
      </c>
      <c r="B65" s="30" t="inlineStr">
        <is>
          <t>年龄验证流程 - 测试</t>
        </is>
      </c>
      <c r="C65" s="30" t="inlineStr">
        <is>
          <t>Red测试</t>
        </is>
      </c>
      <c r="D65" s="30" t="inlineStr">
        <is>
          <t>合规与法律</t>
        </is>
      </c>
      <c r="E65" s="33" t="inlineStr">
        <is>
          <t>P0</t>
        </is>
      </c>
      <c r="F65" s="30" t="inlineStr">
        <is>
          <t>全栈</t>
        </is>
      </c>
      <c r="G65" s="30" t="n">
        <v>2</v>
      </c>
      <c r="H65" s="30" t="inlineStr">
        <is>
          <t>2026-W26</t>
        </is>
      </c>
      <c r="I65" s="30" t="inlineStr">
        <is>
          <t>2026-W27</t>
        </is>
      </c>
      <c r="J65" s="30" t="n"/>
      <c r="K65" s="34" t="inlineStr">
        <is>
          <t>未开始</t>
        </is>
      </c>
      <c r="L65" s="37" t="inlineStr">
        <is>
          <t>【目标】编写年龄验证流程的测试用例。
【运行命令】npm test -- --grep 'age verification'
【测试文件路径】src/compliance/__tests__/ageVerification.test.tsx
【测试用例清单】
1. test_age_gate_shows_on_signup：注册时显示年龄验证
2. test_under_13_rejected：13岁以下用户被拒绝
3. test_over_13_accepted：13岁及以上用户通过验证
4. test_age_verification_bypass_prevented：无法绕过年龄验证
5. test_age_recorded_in_user_profile：年龄验证结果记录到用户档案</t>
        </is>
      </c>
      <c r="M65" s="38" t="inlineStr">
        <is>
          <t>5个年龄验证测试通过，覆盖年龄门槛和绕过防护</t>
        </is>
      </c>
      <c r="N65" s="30" t="inlineStr"/>
    </row>
    <row r="66">
      <c r="A66" s="29" t="inlineStr">
        <is>
          <t>V23-COM-011</t>
        </is>
      </c>
      <c r="B66" s="29" t="inlineStr">
        <is>
          <t>年龄验证流程 - 实现</t>
        </is>
      </c>
      <c r="C66" s="29" t="inlineStr">
        <is>
          <t>Green实现</t>
        </is>
      </c>
      <c r="D66" s="29" t="inlineStr">
        <is>
          <t>合规与法律</t>
        </is>
      </c>
      <c r="E66" s="33" t="inlineStr">
        <is>
          <t>P0</t>
        </is>
      </c>
      <c r="F66" s="29" t="inlineStr">
        <is>
          <t>全栈</t>
        </is>
      </c>
      <c r="G66" s="29" t="n">
        <v>4</v>
      </c>
      <c r="H66" s="29" t="inlineStr">
        <is>
          <t>2026-W26</t>
        </is>
      </c>
      <c r="I66" s="29" t="inlineStr">
        <is>
          <t>2026-W27</t>
        </is>
      </c>
      <c r="J66" s="29" t="inlineStr">
        <is>
          <t>V23-COM-010</t>
        </is>
      </c>
      <c r="K66" s="34" t="inlineStr">
        <is>
          <t>未开始</t>
        </is>
      </c>
      <c r="L66" s="35" t="inlineStr">
        <is>
          <t>【目标】实现年龄验证流程，确保符合COPPA等法规。
【运行命令】npm test -- --grep 'age verification'
【实现步骤】
1. 创建src/compliance/age/AgeVerificationGate.tsx
2. 实现出生日期输入和年龄计算
3. 添加13岁年龄门槛检查
4. 拒绝未通过验证的用户注册
5. 将验证结果记录到用户档案
6. 在注册流程中集成年龄验证步骤
【源文件路径】src/compliance/age/AgeVerificationGate.tsx
【测试文件路径】src/compliance/__tests__/ageVerification.test.tsx</t>
        </is>
      </c>
      <c r="M66" s="36" t="inlineStr">
        <is>
          <t>年龄验证流程实现完成，符合COPPA要求</t>
        </is>
      </c>
      <c r="N66" s="29" t="inlineStr"/>
    </row>
    <row r="67">
      <c r="A67" s="30" t="inlineStr">
        <is>
          <t>V23-COM-012</t>
        </is>
      </c>
      <c r="B67" s="30" t="inlineStr">
        <is>
          <t>年龄验证流程 - 验收</t>
        </is>
      </c>
      <c r="C67" s="30" t="inlineStr">
        <is>
          <t>Acceptance验收</t>
        </is>
      </c>
      <c r="D67" s="30" t="inlineStr">
        <is>
          <t>合规与法律</t>
        </is>
      </c>
      <c r="E67" s="33" t="inlineStr">
        <is>
          <t>P0</t>
        </is>
      </c>
      <c r="F67" s="30" t="inlineStr">
        <is>
          <t>全栈</t>
        </is>
      </c>
      <c r="G67" s="30" t="n">
        <v>2</v>
      </c>
      <c r="H67" s="30" t="inlineStr">
        <is>
          <t>2026-W26</t>
        </is>
      </c>
      <c r="I67" s="30" t="inlineStr">
        <is>
          <t>2026-W27</t>
        </is>
      </c>
      <c r="J67" s="30" t="inlineStr">
        <is>
          <t>V23-COM-011</t>
        </is>
      </c>
      <c r="K67" s="34" t="inlineStr">
        <is>
          <t>未开始</t>
        </is>
      </c>
      <c r="L67" s="37" t="inlineStr">
        <is>
          <t>【目标】验收年龄验证流程的合规性。
【验收检查项】
1. 注册流程包含年龄验证步骤
2. 13岁以下用户无法完成注册
3. 13岁及以上用户正常通过
4. 无法通过修改参数绕过验证
5. 验证结果正确记录
【运行命令】npm run test:e2e -- --grep 'age verification'</t>
        </is>
      </c>
      <c r="M67" s="38" t="inlineStr">
        <is>
          <t>年龄验证流程验收通过，符合COPPA合规要求</t>
        </is>
      </c>
      <c r="N67" s="30" t="inlineStr"/>
    </row>
    <row r="68">
      <c r="A68" s="29" t="inlineStr">
        <is>
          <t>V23-COM-013</t>
        </is>
      </c>
      <c r="B68" s="29" t="inlineStr">
        <is>
          <t>AI内容声明标签 - 测试</t>
        </is>
      </c>
      <c r="C68" s="29" t="inlineStr">
        <is>
          <t>Red测试</t>
        </is>
      </c>
      <c r="D68" s="29" t="inlineStr">
        <is>
          <t>合规与法律</t>
        </is>
      </c>
      <c r="E68" s="33" t="inlineStr">
        <is>
          <t>P0</t>
        </is>
      </c>
      <c r="F68" s="29" t="inlineStr">
        <is>
          <t>前端</t>
        </is>
      </c>
      <c r="G68" s="29" t="n">
        <v>2</v>
      </c>
      <c r="H68" s="29" t="inlineStr">
        <is>
          <t>2026-W26</t>
        </is>
      </c>
      <c r="I68" s="29" t="inlineStr">
        <is>
          <t>2026-W27</t>
        </is>
      </c>
      <c r="J68" s="29" t="n"/>
      <c r="K68" s="34" t="inlineStr">
        <is>
          <t>未开始</t>
        </is>
      </c>
      <c r="L68" s="35" t="inlineStr">
        <is>
          <t>【目标】编写AI内容声明标签的测试用例。
【运行命令】npm test -- --grep 'AI disclosure'
【测试文件路径】src/compliance/__tests__/aiDisclosure.test.tsx
【测试用例清单】
1. test_ai_label_shows_on_ai_content：AI生成内容显示声明标签
2. test_ai_label_not_shows_on_manual_content：手动创作内容不显示标签
3. test_ai_label_includes_model_info：标签包含模型信息
4. test_ai_label_in_export：导出内容包含AI声明
5. test_ai_label_accessible：标签符合无障碍标准</t>
        </is>
      </c>
      <c r="M68" s="36" t="inlineStr">
        <is>
          <t>5个AI内容声明标签测试通过，覆盖显示、信息和导出</t>
        </is>
      </c>
      <c r="N68" s="29" t="inlineStr"/>
    </row>
    <row r="69">
      <c r="A69" s="30" t="inlineStr">
        <is>
          <t>V23-COM-014</t>
        </is>
      </c>
      <c r="B69" s="30" t="inlineStr">
        <is>
          <t>AI内容声明标签 - 实现</t>
        </is>
      </c>
      <c r="C69" s="30" t="inlineStr">
        <is>
          <t>Green实现</t>
        </is>
      </c>
      <c r="D69" s="30" t="inlineStr">
        <is>
          <t>合规与法律</t>
        </is>
      </c>
      <c r="E69" s="33" t="inlineStr">
        <is>
          <t>P0</t>
        </is>
      </c>
      <c r="F69" s="30" t="inlineStr">
        <is>
          <t>前端</t>
        </is>
      </c>
      <c r="G69" s="30" t="n">
        <v>4</v>
      </c>
      <c r="H69" s="30" t="inlineStr">
        <is>
          <t>2026-W26</t>
        </is>
      </c>
      <c r="I69" s="30" t="inlineStr">
        <is>
          <t>2026-W27</t>
        </is>
      </c>
      <c r="J69" s="30" t="inlineStr">
        <is>
          <t>V23-COM-013</t>
        </is>
      </c>
      <c r="K69" s="34" t="inlineStr">
        <is>
          <t>未开始</t>
        </is>
      </c>
      <c r="L69" s="37" t="inlineStr">
        <is>
          <t>【目标】实现AI内容声明标签，符合AI内容透明度法规。
【运行命令】npm test -- --grep 'AI disclosure'
【实现步骤】
1. 创建src/compliance/ai/AIDisclosureLabel.tsx组件
2. 在内容元数据中标记AI生成比例
3. 根据AI参与度显示不同级别的声明标签
4. 标签包含使用的AI模型信息
5. 在内容导出时包含AI声明
6. 确保标签符合无障碍访问标准
【源文件路径】src/compliance/ai/AIDisclosureLabel.tsx
【测试文件路径】src/compliance/__tests__/aiDisclosure.test.tsx</t>
        </is>
      </c>
      <c r="M69" s="38" t="inlineStr">
        <is>
          <t>AI内容声明标签实现完成，符合透明度要求</t>
        </is>
      </c>
      <c r="N69" s="30" t="inlineStr"/>
    </row>
    <row r="70">
      <c r="A70" s="29" t="inlineStr">
        <is>
          <t>V23-COM-015</t>
        </is>
      </c>
      <c r="B70" s="29" t="inlineStr">
        <is>
          <t>AI内容声明标签 - 验收</t>
        </is>
      </c>
      <c r="C70" s="29" t="inlineStr">
        <is>
          <t>Acceptance验收</t>
        </is>
      </c>
      <c r="D70" s="29" t="inlineStr">
        <is>
          <t>合规与法律</t>
        </is>
      </c>
      <c r="E70" s="33" t="inlineStr">
        <is>
          <t>P0</t>
        </is>
      </c>
      <c r="F70" s="29" t="inlineStr">
        <is>
          <t>前端</t>
        </is>
      </c>
      <c r="G70" s="29" t="n">
        <v>2</v>
      </c>
      <c r="H70" s="29" t="inlineStr">
        <is>
          <t>2026-W26</t>
        </is>
      </c>
      <c r="I70" s="29" t="inlineStr">
        <is>
          <t>2026-W27</t>
        </is>
      </c>
      <c r="J70" s="29" t="inlineStr">
        <is>
          <t>V23-COM-014</t>
        </is>
      </c>
      <c r="K70" s="34" t="inlineStr">
        <is>
          <t>未开始</t>
        </is>
      </c>
      <c r="L70" s="35" t="inlineStr">
        <is>
          <t>【目标】验收AI内容声明标签的合规性。
【验收检查项】
1. AI生成内容正确显示声明标签
2. 手动创作内容不显示标签
3. 标签信息完整（模型、比例）
4. 导出内容包含AI声明
5. 标签UI清晰可见
6. 符合EU AI Act等法规要求
【运行命令】npm run test:e2e -- --grep 'ai disclosure'</t>
        </is>
      </c>
      <c r="M70" s="36" t="inlineStr">
        <is>
          <t>AI内容声明标签验收通过，符合AI透明度法规</t>
        </is>
      </c>
      <c r="N70" s="29" t="inlineStr"/>
    </row>
    <row r="71">
      <c r="A71" s="30" t="inlineStr">
        <is>
          <t>V23-MON-001</t>
        </is>
      </c>
      <c r="B71" s="30" t="inlineStr">
        <is>
          <t>Sentry错误追踪 - 测试</t>
        </is>
      </c>
      <c r="C71" s="30" t="inlineStr">
        <is>
          <t>Red测试</t>
        </is>
      </c>
      <c r="D71" s="30" t="inlineStr">
        <is>
          <t>监控与可观测性</t>
        </is>
      </c>
      <c r="E71" s="39" t="inlineStr">
        <is>
          <t>P1</t>
        </is>
      </c>
      <c r="F71" s="30" t="inlineStr">
        <is>
          <t>全栈</t>
        </is>
      </c>
      <c r="G71" s="30" t="n">
        <v>2</v>
      </c>
      <c r="H71" s="30" t="inlineStr">
        <is>
          <t>2026-W28</t>
        </is>
      </c>
      <c r="I71" s="30" t="inlineStr">
        <is>
          <t>2026-W29</t>
        </is>
      </c>
      <c r="J71" s="30" t="n"/>
      <c r="K71" s="34" t="inlineStr">
        <is>
          <t>未开始</t>
        </is>
      </c>
      <c r="L71" s="37" t="inlineStr">
        <is>
          <t>【目标】编写Sentry错误追踪集成的测试用例。
【运行命令】npm test -- --grep 'Sentry integration'
【测试文件路径】src/monitoring/__tests__/sentry.test.ts
【测试用例清单】
1. test_sentry_initialized_with_correct_dsn：Sentry使用正确DSN初始化
2. test_error_captured_and_reported：错误被捕获并上报
3. test_breadcrumb_recorded：面包屑信息正确记录
4. test_user_context_attached：用户上下文正确附加
5. test_source_map_uploaded：Source Map正确上传</t>
        </is>
      </c>
      <c r="M71" s="38" t="inlineStr">
        <is>
          <t>5个Sentry测试通过，覆盖初始化、错误捕获和上下文</t>
        </is>
      </c>
      <c r="N71" s="30" t="inlineStr"/>
    </row>
    <row r="72">
      <c r="A72" s="29" t="inlineStr">
        <is>
          <t>V23-MON-002</t>
        </is>
      </c>
      <c r="B72" s="29" t="inlineStr">
        <is>
          <t>Sentry错误追踪 - 实现</t>
        </is>
      </c>
      <c r="C72" s="29" t="inlineStr">
        <is>
          <t>Green实现</t>
        </is>
      </c>
      <c r="D72" s="29" t="inlineStr">
        <is>
          <t>监控与可观测性</t>
        </is>
      </c>
      <c r="E72" s="39" t="inlineStr">
        <is>
          <t>P1</t>
        </is>
      </c>
      <c r="F72" s="29" t="inlineStr">
        <is>
          <t>全栈</t>
        </is>
      </c>
      <c r="G72" s="29" t="n">
        <v>4</v>
      </c>
      <c r="H72" s="29" t="inlineStr">
        <is>
          <t>2026-W28</t>
        </is>
      </c>
      <c r="I72" s="29" t="inlineStr">
        <is>
          <t>2026-W29</t>
        </is>
      </c>
      <c r="J72" s="29" t="inlineStr">
        <is>
          <t>V23-MON-001</t>
        </is>
      </c>
      <c r="K72" s="34" t="inlineStr">
        <is>
          <t>未开始</t>
        </is>
      </c>
      <c r="L72" s="35" t="inlineStr">
        <is>
          <t>【目标】实现Sentry错误追踪集成，实现全栈错误监控。
【运行命令】npm test -- --grep 'Sentry integration'
【实现步骤】
1. 安装@sentry/react和@sentry/node
2. 创建src/monitoring/sentry/init.ts初始化配置
3. 配置前端React ErrorBoundary集成
4. 配置后端Express中间件集成
5. 实现用户上下文附加（用户ID、语言、订阅计划）
6. 配置Source Map上传到Sentry
7. 设置告警规则和通知渠道
【源文件路径】src/monitoring/sentry/init.ts
【测试文件路径】src/monitoring/__tests__/sentry.test.ts</t>
        </is>
      </c>
      <c r="M72" s="36" t="inlineStr">
        <is>
          <t>Sentry错误追踪实现完成，前后端错误监控生效</t>
        </is>
      </c>
      <c r="N72" s="29" t="inlineStr"/>
    </row>
    <row r="73">
      <c r="A73" s="30" t="inlineStr">
        <is>
          <t>V23-MON-003</t>
        </is>
      </c>
      <c r="B73" s="30" t="inlineStr">
        <is>
          <t>Sentry错误追踪 - 验收</t>
        </is>
      </c>
      <c r="C73" s="30" t="inlineStr">
        <is>
          <t>Acceptance验收</t>
        </is>
      </c>
      <c r="D73" s="30" t="inlineStr">
        <is>
          <t>监控与可观测性</t>
        </is>
      </c>
      <c r="E73" s="39" t="inlineStr">
        <is>
          <t>P1</t>
        </is>
      </c>
      <c r="F73" s="30" t="inlineStr">
        <is>
          <t>全栈</t>
        </is>
      </c>
      <c r="G73" s="30" t="n">
        <v>2</v>
      </c>
      <c r="H73" s="30" t="inlineStr">
        <is>
          <t>2026-W28</t>
        </is>
      </c>
      <c r="I73" s="30" t="inlineStr">
        <is>
          <t>2026-W29</t>
        </is>
      </c>
      <c r="J73" s="30" t="inlineStr">
        <is>
          <t>V23-MON-002</t>
        </is>
      </c>
      <c r="K73" s="34" t="inlineStr">
        <is>
          <t>未开始</t>
        </is>
      </c>
      <c r="L73" s="37" t="inlineStr">
        <is>
          <t>【目标】验收Sentry错误追踪的完整性和可用性。
【验收检查项】
1. 前端错误自动上报到Sentry
2. 后端错误自动上报到Sentry
3. 错误包含完整的堆栈和上下文
4. Source Map正确解析，错误可定位到源码
5. 告警通知及时发送
【运行命令】npm run test:e2e -- --grep 'sentry' &amp;&amp; ./scripts/verify-sentry.sh</t>
        </is>
      </c>
      <c r="M73" s="38" t="inlineStr">
        <is>
          <t>Sentry错误追踪验收通过，全栈错误监控可用</t>
        </is>
      </c>
      <c r="N73" s="30" t="inlineStr"/>
    </row>
    <row r="74">
      <c r="A74" s="29" t="inlineStr">
        <is>
          <t>V23-MON-004</t>
        </is>
      </c>
      <c r="B74" s="29" t="inlineStr">
        <is>
          <t>Datadog APM - 测试</t>
        </is>
      </c>
      <c r="C74" s="29" t="inlineStr">
        <is>
          <t>Red测试</t>
        </is>
      </c>
      <c r="D74" s="29" t="inlineStr">
        <is>
          <t>监控与可观测性</t>
        </is>
      </c>
      <c r="E74" s="39" t="inlineStr">
        <is>
          <t>P1</t>
        </is>
      </c>
      <c r="F74" s="29" t="inlineStr">
        <is>
          <t>全栈</t>
        </is>
      </c>
      <c r="G74" s="29" t="n">
        <v>2</v>
      </c>
      <c r="H74" s="29" t="inlineStr">
        <is>
          <t>2026-W28</t>
        </is>
      </c>
      <c r="I74" s="29" t="inlineStr">
        <is>
          <t>2026-W29</t>
        </is>
      </c>
      <c r="J74" s="29" t="n"/>
      <c r="K74" s="34" t="inlineStr">
        <is>
          <t>未开始</t>
        </is>
      </c>
      <c r="L74" s="35" t="inlineStr">
        <is>
          <t>【目标】编写Datadog APM集成的测试用例。
【运行命令】npm test -- --grep 'Datadog APM'
【测试文件路径】src/monitoring/__tests__/datadog.test.ts
【测试用例清单】
1. test_datadog_agent_connected：Datadog Agent连接成功
2. test_traces_generated_for_api_calls：API调用生成trace
3. test_custom_spans_created：自定义span正确创建
4. test_service_map_generated：服务地图正确生成
5. test_performance_metrics_collected：性能指标正确采集</t>
        </is>
      </c>
      <c r="M74" s="36" t="inlineStr">
        <is>
          <t>5个Datadog APM测试通过，覆盖连接、trace和指标</t>
        </is>
      </c>
      <c r="N74" s="29" t="inlineStr"/>
    </row>
    <row r="75">
      <c r="A75" s="30" t="inlineStr">
        <is>
          <t>V23-MON-005</t>
        </is>
      </c>
      <c r="B75" s="30" t="inlineStr">
        <is>
          <t>Datadog APM - 实现</t>
        </is>
      </c>
      <c r="C75" s="30" t="inlineStr">
        <is>
          <t>Green实现</t>
        </is>
      </c>
      <c r="D75" s="30" t="inlineStr">
        <is>
          <t>监控与可观测性</t>
        </is>
      </c>
      <c r="E75" s="39" t="inlineStr">
        <is>
          <t>P1</t>
        </is>
      </c>
      <c r="F75" s="30" t="inlineStr">
        <is>
          <t>全栈</t>
        </is>
      </c>
      <c r="G75" s="30" t="n">
        <v>5</v>
      </c>
      <c r="H75" s="30" t="inlineStr">
        <is>
          <t>2026-W28</t>
        </is>
      </c>
      <c r="I75" s="30" t="inlineStr">
        <is>
          <t>2026-W29</t>
        </is>
      </c>
      <c r="J75" s="30" t="inlineStr">
        <is>
          <t>V23-MON-004</t>
        </is>
      </c>
      <c r="K75" s="34" t="inlineStr">
        <is>
          <t>未开始</t>
        </is>
      </c>
      <c r="L75" s="37" t="inlineStr">
        <is>
          <t>【目标】实现Datadog APM集成，实现应用性能监控。
【运行命令】npm test -- --grep 'Datadog APM'
【实现步骤】
1. 部署Datadog Agent到各区域ECS集群
2. 安装dd-trace SDK：npm install dd-trace
3. 创建src/monitoring/datadog/init.ts初始化配置
4. 为关键API端点添加自定义span
5. 配置服务名称和环境标签
6. 设置性能基线和告警规则
【源文件路径】src/monitoring/datadog/init.ts
【测试文件路径】src/monitoring/__tests__/datadog.test.ts</t>
        </is>
      </c>
      <c r="M75" s="38" t="inlineStr">
        <is>
          <t>Datadog APM实现完成，应用性能监控生效</t>
        </is>
      </c>
      <c r="N75" s="30" t="inlineStr"/>
    </row>
    <row r="76">
      <c r="A76" s="29" t="inlineStr">
        <is>
          <t>V23-MON-006</t>
        </is>
      </c>
      <c r="B76" s="29" t="inlineStr">
        <is>
          <t>Datadog APM - 验收</t>
        </is>
      </c>
      <c r="C76" s="29" t="inlineStr">
        <is>
          <t>Acceptance验收</t>
        </is>
      </c>
      <c r="D76" s="29" t="inlineStr">
        <is>
          <t>监控与可观测性</t>
        </is>
      </c>
      <c r="E76" s="39" t="inlineStr">
        <is>
          <t>P1</t>
        </is>
      </c>
      <c r="F76" s="29" t="inlineStr">
        <is>
          <t>全栈</t>
        </is>
      </c>
      <c r="G76" s="29" t="n">
        <v>2</v>
      </c>
      <c r="H76" s="29" t="inlineStr">
        <is>
          <t>2026-W28</t>
        </is>
      </c>
      <c r="I76" s="29" t="inlineStr">
        <is>
          <t>2026-W29</t>
        </is>
      </c>
      <c r="J76" s="29" t="inlineStr">
        <is>
          <t>V23-MON-005</t>
        </is>
      </c>
      <c r="K76" s="34" t="inlineStr">
        <is>
          <t>未开始</t>
        </is>
      </c>
      <c r="L76" s="35" t="inlineStr">
        <is>
          <t>【目标】验收Datadog APM的监控效果。
【验收检查项】
1. API请求trace完整可见
2. 服务依赖关系正确展示
3. 慢请求自动标记
4. 性能指标实时更新
5. 告警规则正确触发
【运行命令】npm run test:e2e -- --grep 'datadog' &amp;&amp; ./scripts/verify-datadog.sh</t>
        </is>
      </c>
      <c r="M76" s="36" t="inlineStr">
        <is>
          <t>Datadog APM验收通过，性能监控和告警正常</t>
        </is>
      </c>
      <c r="N76" s="29" t="inlineStr"/>
    </row>
    <row r="77">
      <c r="A77" s="30" t="inlineStr">
        <is>
          <t>V23-MON-007</t>
        </is>
      </c>
      <c r="B77" s="30" t="inlineStr">
        <is>
          <t>CloudWatch日志 - 测试</t>
        </is>
      </c>
      <c r="C77" s="30" t="inlineStr">
        <is>
          <t>Red测试</t>
        </is>
      </c>
      <c r="D77" s="30" t="inlineStr">
        <is>
          <t>监控与可观测性</t>
        </is>
      </c>
      <c r="E77" s="39" t="inlineStr">
        <is>
          <t>P1</t>
        </is>
      </c>
      <c r="F77" s="30" t="inlineStr">
        <is>
          <t>DevOps</t>
        </is>
      </c>
      <c r="G77" s="30" t="n">
        <v>2</v>
      </c>
      <c r="H77" s="30" t="inlineStr">
        <is>
          <t>2026-W28</t>
        </is>
      </c>
      <c r="I77" s="30" t="inlineStr">
        <is>
          <t>2026-W29</t>
        </is>
      </c>
      <c r="J77" s="30" t="n"/>
      <c r="K77" s="34" t="inlineStr">
        <is>
          <t>未开始</t>
        </is>
      </c>
      <c r="L77" s="37" t="inlineStr">
        <is>
          <t>【目标】编写CloudWatch日志配置的测试用例。
【运行命令】cd infra &amp;&amp; pytest tests/test_cloudwatch.py -v
【测试文件路径】infra/tests/test_cloudwatch.py
【测试用例清单】
1. test_log_group_created：日志组创建成功
2. test_log_stream_created：日志流创建成功
3. test_log_retention_configured：日志保留期配置正确
4. test_log_metric_filter：日志指标过滤器正确
5. test_cross_region_log_aggregation：跨区域日志聚合正确</t>
        </is>
      </c>
      <c r="M77" s="38" t="inlineStr">
        <is>
          <t>5个CloudWatch日志测试通过，覆盖日志组和过滤器</t>
        </is>
      </c>
      <c r="N77" s="30" t="inlineStr"/>
    </row>
    <row r="78">
      <c r="A78" s="29" t="inlineStr">
        <is>
          <t>V23-MON-008</t>
        </is>
      </c>
      <c r="B78" s="29" t="inlineStr">
        <is>
          <t>CloudWatch日志 - 实现</t>
        </is>
      </c>
      <c r="C78" s="29" t="inlineStr">
        <is>
          <t>Green实现</t>
        </is>
      </c>
      <c r="D78" s="29" t="inlineStr">
        <is>
          <t>监控与可观测性</t>
        </is>
      </c>
      <c r="E78" s="39" t="inlineStr">
        <is>
          <t>P1</t>
        </is>
      </c>
      <c r="F78" s="29" t="inlineStr">
        <is>
          <t>DevOps</t>
        </is>
      </c>
      <c r="G78" s="29" t="n">
        <v>4</v>
      </c>
      <c r="H78" s="29" t="inlineStr">
        <is>
          <t>2026-W28</t>
        </is>
      </c>
      <c r="I78" s="29" t="inlineStr">
        <is>
          <t>2026-W29</t>
        </is>
      </c>
      <c r="J78" s="29" t="inlineStr">
        <is>
          <t>V23-MON-007</t>
        </is>
      </c>
      <c r="K78" s="34" t="inlineStr">
        <is>
          <t>未开始</t>
        </is>
      </c>
      <c r="L78" s="35" t="inlineStr">
        <is>
          <t>【目标】实现CloudWatch日志配置，实现集中式日志管理。
【运行命令】cd infra &amp;&amp; terraform plan &amp;&amp; terraform apply
【实现步骤】
1. 创建infra/aws/cloudwatch/logs.tf日志配置
2. 为每个服务创建独立的日志组
3. 配置日志保留期（90天热存储，365天冷存储）
4. 创建日志指标过滤器（ERROR、WARN级别）
5. 配置跨区域日志聚合到中央区域
6. 设置日志订阅到S3长期归档
【源文件路径】infra/aws/cloudwatch/logs.tf
【测试文件路径】infra/tests/test_cloudwatch.py</t>
        </is>
      </c>
      <c r="M78" s="36" t="inlineStr">
        <is>
          <t>CloudWatch日志配置完成，集中式日志管理生效</t>
        </is>
      </c>
      <c r="N78" s="29" t="inlineStr"/>
    </row>
    <row r="79">
      <c r="A79" s="30" t="inlineStr">
        <is>
          <t>V23-MON-009</t>
        </is>
      </c>
      <c r="B79" s="30" t="inlineStr">
        <is>
          <t>CloudWatch日志 - 验收</t>
        </is>
      </c>
      <c r="C79" s="30" t="inlineStr">
        <is>
          <t>Acceptance验收</t>
        </is>
      </c>
      <c r="D79" s="30" t="inlineStr">
        <is>
          <t>监控与可观测性</t>
        </is>
      </c>
      <c r="E79" s="39" t="inlineStr">
        <is>
          <t>P1</t>
        </is>
      </c>
      <c r="F79" s="30" t="inlineStr">
        <is>
          <t>DevOps</t>
        </is>
      </c>
      <c r="G79" s="30" t="n">
        <v>2</v>
      </c>
      <c r="H79" s="30" t="inlineStr">
        <is>
          <t>2026-W28</t>
        </is>
      </c>
      <c r="I79" s="30" t="inlineStr">
        <is>
          <t>2026-W29</t>
        </is>
      </c>
      <c r="J79" s="30" t="inlineStr">
        <is>
          <t>V23-MON-008</t>
        </is>
      </c>
      <c r="K79" s="34" t="inlineStr">
        <is>
          <t>未开始</t>
        </is>
      </c>
      <c r="L79" s="37" t="inlineStr">
        <is>
          <t>【目标】验收CloudWatch日志配置的完整性。
【验收检查项】
1. 各服务日志正确发送到对应日志组
2. 日志保留期配置正确
3. 日志指标过滤器正确触发
4. 跨区域日志聚合正常
5. 日志查询和检索功能可用
【运行命令】cd infra &amp;&amp; pytest tests/test_cloudwatch.py -v &amp;&amp; ./scripts/verify-logs.sh</t>
        </is>
      </c>
      <c r="M79" s="38" t="inlineStr">
        <is>
          <t>CloudWatch日志验收通过，日志管理配置正确</t>
        </is>
      </c>
      <c r="N79" s="30" t="inlineStr"/>
    </row>
    <row r="80">
      <c r="A80" s="29" t="inlineStr">
        <is>
          <t>V23-MON-010</t>
        </is>
      </c>
      <c r="B80" s="29" t="inlineStr">
        <is>
          <t>PagerDuty告警 - 测试</t>
        </is>
      </c>
      <c r="C80" s="29" t="inlineStr">
        <is>
          <t>Red测试</t>
        </is>
      </c>
      <c r="D80" s="29" t="inlineStr">
        <is>
          <t>监控与可观测性</t>
        </is>
      </c>
      <c r="E80" s="39" t="inlineStr">
        <is>
          <t>P1</t>
        </is>
      </c>
      <c r="F80" s="29" t="inlineStr">
        <is>
          <t>DevOps</t>
        </is>
      </c>
      <c r="G80" s="29" t="n">
        <v>2</v>
      </c>
      <c r="H80" s="29" t="inlineStr">
        <is>
          <t>2026-W28</t>
        </is>
      </c>
      <c r="I80" s="29" t="inlineStr">
        <is>
          <t>2026-W29</t>
        </is>
      </c>
      <c r="J80" s="29" t="n"/>
      <c r="K80" s="34" t="inlineStr">
        <is>
          <t>未开始</t>
        </is>
      </c>
      <c r="L80" s="35" t="inlineStr">
        <is>
          <t>【目标】编写PagerDuty告警集成的测试用例。
【运行命令】cd infra &amp;&amp; pytest tests/test_pagerduty.py -v
【测试文件路径】infra/tests/test_pagerduty.py
【测试用例清单】
1. test_pagerduty_service_created：PagerDuty服务创建成功
2. test_alert_triggered_on_error：错误时触发告警
3. test_alert_escalation_policy：告警升级策略正确
4. test_alert_acknowledged：告警确认流程正确
5. test_alert_auto_resolve：告警自动解决</t>
        </is>
      </c>
      <c r="M80" s="36" t="inlineStr">
        <is>
          <t>5个PagerDuty告警测试通过，覆盖触发、升级和解决</t>
        </is>
      </c>
      <c r="N80" s="29" t="inlineStr"/>
    </row>
    <row r="81">
      <c r="A81" s="30" t="inlineStr">
        <is>
          <t>V23-MON-011</t>
        </is>
      </c>
      <c r="B81" s="30" t="inlineStr">
        <is>
          <t>PagerDuty告警 - 实现</t>
        </is>
      </c>
      <c r="C81" s="30" t="inlineStr">
        <is>
          <t>Green实现</t>
        </is>
      </c>
      <c r="D81" s="30" t="inlineStr">
        <is>
          <t>监控与可观测性</t>
        </is>
      </c>
      <c r="E81" s="39" t="inlineStr">
        <is>
          <t>P1</t>
        </is>
      </c>
      <c r="F81" s="30" t="inlineStr">
        <is>
          <t>DevOps</t>
        </is>
      </c>
      <c r="G81" s="30" t="n">
        <v>4</v>
      </c>
      <c r="H81" s="30" t="inlineStr">
        <is>
          <t>2026-W28</t>
        </is>
      </c>
      <c r="I81" s="30" t="inlineStr">
        <is>
          <t>2026-W29</t>
        </is>
      </c>
      <c r="J81" s="30" t="inlineStr">
        <is>
          <t>V23-MON-010</t>
        </is>
      </c>
      <c r="K81" s="34" t="inlineStr">
        <is>
          <t>未开始</t>
        </is>
      </c>
      <c r="L81" s="37" t="inlineStr">
        <is>
          <t>【目标】实现PagerDuty告警集成，建立完善的告警体系。
【运行命令】cd infra &amp;&amp; python scripts/setup_pagerduty.py
【实现步骤】
1. 创建PagerDuty服务和集成
2. 配置告警升级策略（L1→L2→L3→经理）
3. 创建CloudWatch告警到PagerDuty的集成
4. 配置Sentry错误告警到PagerDuty
5. 设置Datadog APM告警到PagerDuty
6. 定义告警分类和优先级
【源文件路径】infra/monitoring/pagerduty/config.tf
【测试文件路径】infra/tests/test_pagerduty.py</t>
        </is>
      </c>
      <c r="M81" s="38" t="inlineStr">
        <is>
          <t>PagerDuty告警集成完成，告警体系建立</t>
        </is>
      </c>
      <c r="N81" s="30" t="inlineStr"/>
    </row>
    <row r="82">
      <c r="A82" s="29" t="inlineStr">
        <is>
          <t>V23-MON-012</t>
        </is>
      </c>
      <c r="B82" s="29" t="inlineStr">
        <is>
          <t>PagerDuty告警 - 验收</t>
        </is>
      </c>
      <c r="C82" s="29" t="inlineStr">
        <is>
          <t>Acceptance验收</t>
        </is>
      </c>
      <c r="D82" s="29" t="inlineStr">
        <is>
          <t>监控与可观测性</t>
        </is>
      </c>
      <c r="E82" s="39" t="inlineStr">
        <is>
          <t>P1</t>
        </is>
      </c>
      <c r="F82" s="29" t="inlineStr">
        <is>
          <t>DevOps</t>
        </is>
      </c>
      <c r="G82" s="29" t="n">
        <v>2</v>
      </c>
      <c r="H82" s="29" t="inlineStr">
        <is>
          <t>2026-W28</t>
        </is>
      </c>
      <c r="I82" s="29" t="inlineStr">
        <is>
          <t>2026-W29</t>
        </is>
      </c>
      <c r="J82" s="29" t="inlineStr">
        <is>
          <t>V23-MON-011</t>
        </is>
      </c>
      <c r="K82" s="34" t="inlineStr">
        <is>
          <t>未开始</t>
        </is>
      </c>
      <c r="L82" s="35" t="inlineStr">
        <is>
          <t>【目标】验收PagerDuty告警体系的完整性。
【验收检查项】
1. 错误告警正确触发PagerDuty
2. 告警升级策略按时执行
3. 告警确认和解决流程正常
4. 多渠道通知（邮件/短信/Push）
5. 告警历史可查询
【运行命令】cd infra &amp;&amp; pytest tests/test_pagerduty.py -v &amp;&amp; ./scripts/verify-pagerduty.sh</t>
        </is>
      </c>
      <c r="M82" s="36" t="inlineStr">
        <is>
          <t>PagerDuty告警验收通过，告警体系完整可用</t>
        </is>
      </c>
      <c r="N82" s="29" t="inlineStr"/>
    </row>
    <row r="83">
      <c r="A83" s="30" t="inlineStr">
        <is>
          <t>V23-INT-001</t>
        </is>
      </c>
      <c r="B83" s="30" t="inlineStr">
        <is>
          <t>多语言UI切换测试 - 测试</t>
        </is>
      </c>
      <c r="C83" s="30" t="inlineStr">
        <is>
          <t>Red测试</t>
        </is>
      </c>
      <c r="D83" s="30" t="inlineStr">
        <is>
          <t>全球版集成测试</t>
        </is>
      </c>
      <c r="E83" s="33" t="inlineStr">
        <is>
          <t>P0</t>
        </is>
      </c>
      <c r="F83" s="30" t="inlineStr">
        <is>
          <t>测试</t>
        </is>
      </c>
      <c r="G83" s="30" t="n">
        <v>2</v>
      </c>
      <c r="H83" s="30" t="inlineStr">
        <is>
          <t>2026-W26</t>
        </is>
      </c>
      <c r="I83" s="30" t="inlineStr">
        <is>
          <t>2026-W27</t>
        </is>
      </c>
      <c r="J83" s="30" t="n"/>
      <c r="K83" s="34" t="inlineStr">
        <is>
          <t>未开始</t>
        </is>
      </c>
      <c r="L83" s="37" t="inlineStr">
        <is>
          <t>【目标】编写多语言UI切换的E2E测试用例。
【运行命令】npm run test:e2e -- --grep 'multilingual UI switch'
【测试文件路径】e2e/tests/multilingualUISwitch.test.ts
【测试用例清单】
1. test_switch_from_zh_to_en_complete：中文切换英文，所有页面文本更新
2. test_switch_from_en_to_zh_complete：英文切换中文，所有页面文本更新
3. test_language_persist_after_page_navigation：页面导航后语言保持
4. test_language_persist_after_browser_refresh：浏览器刷新后语言保持
5. test_no_mixed_language_display：无中英文混合显示
6. test_rtl_not_applied_for_zh_en：中英文不应用RTL布局</t>
        </is>
      </c>
      <c r="M83" s="38" t="inlineStr">
        <is>
          <t>6个多语言UI切换E2E测试通过，覆盖切换、持久化和一致性</t>
        </is>
      </c>
      <c r="N83" s="30" t="inlineStr"/>
    </row>
    <row r="84">
      <c r="A84" s="29" t="inlineStr">
        <is>
          <t>V23-INT-002</t>
        </is>
      </c>
      <c r="B84" s="29" t="inlineStr">
        <is>
          <t>多语言UI切换测试 - 实现</t>
        </is>
      </c>
      <c r="C84" s="29" t="inlineStr">
        <is>
          <t>Green实现</t>
        </is>
      </c>
      <c r="D84" s="29" t="inlineStr">
        <is>
          <t>全球版集成测试</t>
        </is>
      </c>
      <c r="E84" s="33" t="inlineStr">
        <is>
          <t>P0</t>
        </is>
      </c>
      <c r="F84" s="29" t="inlineStr">
        <is>
          <t>测试</t>
        </is>
      </c>
      <c r="G84" s="29" t="n">
        <v>4</v>
      </c>
      <c r="H84" s="29" t="inlineStr">
        <is>
          <t>2026-W26</t>
        </is>
      </c>
      <c r="I84" s="29" t="inlineStr">
        <is>
          <t>2026-W27</t>
        </is>
      </c>
      <c r="J84" s="29" t="inlineStr">
        <is>
          <t>V23-INT-001</t>
        </is>
      </c>
      <c r="K84" s="34" t="inlineStr">
        <is>
          <t>未开始</t>
        </is>
      </c>
      <c r="L84" s="35" t="inlineStr">
        <is>
          <t>【目标】实现多语言UI切换的E2E测试自动化。
【运行命令】npm run test:e2e -- --grep 'multilingual UI switch'
【实现步骤】
1. 配置Playwright多语言测试环境
2. 编写语言切换的Page Object
3. 实现各页面的文本断言（Sidebar/Editor/Settings）
4. 实现语言持久化的测试场景
5. 添加截图对比验证UI布局
6. 集成到CI/CD流水线
【源文件路径】e2e/pages/LanguageSwitchPage.ts, e2e/tests/multilingualUISwitch.test.ts
【测试文件路径】e2e/tests/multilingualUISwitch.test.ts</t>
        </is>
      </c>
      <c r="M84" s="36" t="inlineStr">
        <is>
          <t>多语言UI切换E2E测试实现完成，自动化运行正常</t>
        </is>
      </c>
      <c r="N84" s="29" t="inlineStr"/>
    </row>
    <row r="85">
      <c r="A85" s="30" t="inlineStr">
        <is>
          <t>V23-INT-003</t>
        </is>
      </c>
      <c r="B85" s="30" t="inlineStr">
        <is>
          <t>多语言UI切换测试 - 验收</t>
        </is>
      </c>
      <c r="C85" s="30" t="inlineStr">
        <is>
          <t>Acceptance验收</t>
        </is>
      </c>
      <c r="D85" s="30" t="inlineStr">
        <is>
          <t>全球版集成测试</t>
        </is>
      </c>
      <c r="E85" s="33" t="inlineStr">
        <is>
          <t>P0</t>
        </is>
      </c>
      <c r="F85" s="30" t="inlineStr">
        <is>
          <t>测试</t>
        </is>
      </c>
      <c r="G85" s="30" t="n">
        <v>2</v>
      </c>
      <c r="H85" s="30" t="inlineStr">
        <is>
          <t>2026-W26</t>
        </is>
      </c>
      <c r="I85" s="30" t="inlineStr">
        <is>
          <t>2026-W27</t>
        </is>
      </c>
      <c r="J85" s="30" t="inlineStr">
        <is>
          <t>V23-INT-002</t>
        </is>
      </c>
      <c r="K85" s="34" t="inlineStr">
        <is>
          <t>未开始</t>
        </is>
      </c>
      <c r="L85" s="37" t="inlineStr">
        <is>
          <t>【目标】验收多语言UI切换测试的覆盖率和可靠性。
【验收检查项】
1. E2E测试覆盖所有主要页面
2. 中英文切换无遗漏文本
3. 语言持久化验证通过
4. 测试在CI中稳定运行
5. 截图对比无回归
【运行命令】npm run test:e2e -- --grep 'multilingual'</t>
        </is>
      </c>
      <c r="M85" s="38" t="inlineStr">
        <is>
          <t>多语言UI切换测试验收通过，覆盖率和稳定性达标</t>
        </is>
      </c>
      <c r="N85" s="30" t="inlineStr"/>
    </row>
    <row r="86">
      <c r="A86" s="29" t="inlineStr">
        <is>
          <t>V23-INT-004</t>
        </is>
      </c>
      <c r="B86" s="29" t="inlineStr">
        <is>
          <t>Stripe支付流程E2E - 测试</t>
        </is>
      </c>
      <c r="C86" s="29" t="inlineStr">
        <is>
          <t>Red测试</t>
        </is>
      </c>
      <c r="D86" s="29" t="inlineStr">
        <is>
          <t>全球版集成测试</t>
        </is>
      </c>
      <c r="E86" s="33" t="inlineStr">
        <is>
          <t>P0</t>
        </is>
      </c>
      <c r="F86" s="29" t="inlineStr">
        <is>
          <t>测试</t>
        </is>
      </c>
      <c r="G86" s="29" t="n">
        <v>3</v>
      </c>
      <c r="H86" s="29" t="inlineStr">
        <is>
          <t>2026-W26</t>
        </is>
      </c>
      <c r="I86" s="29" t="inlineStr">
        <is>
          <t>2026-W27</t>
        </is>
      </c>
      <c r="J86" s="29" t="n"/>
      <c r="K86" s="34" t="inlineStr">
        <is>
          <t>未开始</t>
        </is>
      </c>
      <c r="L86" s="35" t="inlineStr">
        <is>
          <t>【目标】编写Stripe支付流程的E2E测试用例。
【运行命令】npm run test:e2e -- --grep 'Stripe payment E2E'
【测试文件路径】e2e/tests/stripePaymentE2E.test.ts
【测试用例清单】
1. test_complete_payment_flow：完整支付流程（选择计划→支付→确认）
2. test_payment_with_test_card：使用Stripe测试卡完成支付
3. test_payment_failure_handling：支付失败错误处理正确
4. test_subscription_activation_after_payment：支付后订阅激活
5. test_upgrade_subscription_flow：升级订阅流程正确
6. test_cancel_subscription_flow：取消订阅流程正确</t>
        </is>
      </c>
      <c r="M86" s="36" t="inlineStr">
        <is>
          <t>6个Stripe支付E2E测试通过，覆盖完整支付生命周期</t>
        </is>
      </c>
      <c r="N86" s="29" t="inlineStr"/>
    </row>
    <row r="87">
      <c r="A87" s="30" t="inlineStr">
        <is>
          <t>V23-INT-005</t>
        </is>
      </c>
      <c r="B87" s="30" t="inlineStr">
        <is>
          <t>Stripe支付流程E2E - 实现</t>
        </is>
      </c>
      <c r="C87" s="30" t="inlineStr">
        <is>
          <t>Green实现</t>
        </is>
      </c>
      <c r="D87" s="30" t="inlineStr">
        <is>
          <t>全球版集成测试</t>
        </is>
      </c>
      <c r="E87" s="33" t="inlineStr">
        <is>
          <t>P0</t>
        </is>
      </c>
      <c r="F87" s="30" t="inlineStr">
        <is>
          <t>测试</t>
        </is>
      </c>
      <c r="G87" s="30" t="n">
        <v>5</v>
      </c>
      <c r="H87" s="30" t="inlineStr">
        <is>
          <t>2026-W26</t>
        </is>
      </c>
      <c r="I87" s="30" t="inlineStr">
        <is>
          <t>2026-W27</t>
        </is>
      </c>
      <c r="J87" s="30" t="inlineStr">
        <is>
          <t>V23-INT-004</t>
        </is>
      </c>
      <c r="K87" s="34" t="inlineStr">
        <is>
          <t>未开始</t>
        </is>
      </c>
      <c r="L87" s="37" t="inlineStr">
        <is>
          <t>【目标】实现Stripe支付流程的E2E测试自动化。
【运行命令】npm run test:e2e -- --grep 'Stripe payment E2E'
【实现步骤】
1. 配置Stripe测试环境（测试密钥和Webhook）
2. 创建PaymentPage Object封装支付页面操作
3. 实现完整支付流程测试（选择计划→Checkout→回调）
4. 使用Stripe测试卡模拟各种支付场景
5. 实现订阅管理测试（升级/降级/取消）
6. 集成到CI/CD流水线
【源文件路径】e2e/pages/PaymentPage.ts, e2e/tests/stripePaymentE2E.test.ts
【测试文件路径】e2e/tests/stripePaymentE2E.test.ts</t>
        </is>
      </c>
      <c r="M87" s="38" t="inlineStr">
        <is>
          <t>Stripe支付E2E测试实现完成，覆盖完整支付流程</t>
        </is>
      </c>
      <c r="N87" s="30" t="inlineStr"/>
    </row>
    <row r="88">
      <c r="A88" s="29" t="inlineStr">
        <is>
          <t>V23-INT-006</t>
        </is>
      </c>
      <c r="B88" s="29" t="inlineStr">
        <is>
          <t>Stripe支付流程E2E - 验收</t>
        </is>
      </c>
      <c r="C88" s="29" t="inlineStr">
        <is>
          <t>Acceptance验收</t>
        </is>
      </c>
      <c r="D88" s="29" t="inlineStr">
        <is>
          <t>全球版集成测试</t>
        </is>
      </c>
      <c r="E88" s="33" t="inlineStr">
        <is>
          <t>P0</t>
        </is>
      </c>
      <c r="F88" s="29" t="inlineStr">
        <is>
          <t>测试</t>
        </is>
      </c>
      <c r="G88" s="29" t="n">
        <v>2</v>
      </c>
      <c r="H88" s="29" t="inlineStr">
        <is>
          <t>2026-W26</t>
        </is>
      </c>
      <c r="I88" s="29" t="inlineStr">
        <is>
          <t>2026-W27</t>
        </is>
      </c>
      <c r="J88" s="29" t="inlineStr">
        <is>
          <t>V23-INT-005</t>
        </is>
      </c>
      <c r="K88" s="34" t="inlineStr">
        <is>
          <t>未开始</t>
        </is>
      </c>
      <c r="L88" s="35" t="inlineStr">
        <is>
          <t>【目标】验收Stripe支付E2E测试的覆盖率和可靠性。
【验收检查项】
1. 支付流程E2E测试全部通过
2. 覆盖成功/失败/取消等场景
3. 订阅管理测试覆盖升级/降级/取消
4. 测试在CI中稳定运行
5. 测试数据自动清理
【运行命令】npm run test:e2e -- --grep 'stripe payment'</t>
        </is>
      </c>
      <c r="M88" s="36" t="inlineStr">
        <is>
          <t>Stripe支付E2E测试验收通过，覆盖率和稳定性达标</t>
        </is>
      </c>
      <c r="N88" s="29" t="inlineStr"/>
    </row>
    <row r="89">
      <c r="A89" s="30" t="inlineStr">
        <is>
          <t>V23-INT-007</t>
        </is>
      </c>
      <c r="B89" s="30" t="inlineStr">
        <is>
          <t>GDPR合规测试 - 测试</t>
        </is>
      </c>
      <c r="C89" s="30" t="inlineStr">
        <is>
          <t>Red测试</t>
        </is>
      </c>
      <c r="D89" s="30" t="inlineStr">
        <is>
          <t>全球版集成测试</t>
        </is>
      </c>
      <c r="E89" s="33" t="inlineStr">
        <is>
          <t>P0</t>
        </is>
      </c>
      <c r="F89" s="30" t="inlineStr">
        <is>
          <t>测试</t>
        </is>
      </c>
      <c r="G89" s="30" t="n">
        <v>2</v>
      </c>
      <c r="H89" s="30" t="inlineStr">
        <is>
          <t>2026-W26</t>
        </is>
      </c>
      <c r="I89" s="30" t="inlineStr">
        <is>
          <t>2026-W27</t>
        </is>
      </c>
      <c r="J89" s="30" t="n"/>
      <c r="K89" s="34" t="inlineStr">
        <is>
          <t>未开始</t>
        </is>
      </c>
      <c r="L89" s="37" t="inlineStr">
        <is>
          <t>【目标】编写GDPR合规的E2E测试用例。
【运行命令】npm run test:e2e -- --grep 'GDPR compliance'
【测试文件路径】e2e/tests/gdprCompliance.test.ts
【测试用例清单】
1. test_data_export_request_and_download：数据导出请求和下载完整流程
2. test_data_deletion_request_and_confirmation：数据删除请求和确认流程
3. test_cookie_consent_flow：Cookie同意流程完整
4. test_age_verification_flow：年龄验证流程完整
5. test_privacy_policy_accessible：隐私政策页面可访问</t>
        </is>
      </c>
      <c r="M89" s="38" t="inlineStr">
        <is>
          <t>5个GDPR合规E2E测试通过，覆盖导出、删除、Cookie和年龄验证</t>
        </is>
      </c>
      <c r="N89" s="30" t="inlineStr"/>
    </row>
    <row r="90">
      <c r="A90" s="29" t="inlineStr">
        <is>
          <t>V23-INT-008</t>
        </is>
      </c>
      <c r="B90" s="29" t="inlineStr">
        <is>
          <t>GDPR合规测试 - 实现</t>
        </is>
      </c>
      <c r="C90" s="29" t="inlineStr">
        <is>
          <t>Green实现</t>
        </is>
      </c>
      <c r="D90" s="29" t="inlineStr">
        <is>
          <t>全球版集成测试</t>
        </is>
      </c>
      <c r="E90" s="33" t="inlineStr">
        <is>
          <t>P0</t>
        </is>
      </c>
      <c r="F90" s="29" t="inlineStr">
        <is>
          <t>测试</t>
        </is>
      </c>
      <c r="G90" s="29" t="n">
        <v>4</v>
      </c>
      <c r="H90" s="29" t="inlineStr">
        <is>
          <t>2026-W26</t>
        </is>
      </c>
      <c r="I90" s="29" t="inlineStr">
        <is>
          <t>2026-W27</t>
        </is>
      </c>
      <c r="J90" s="29" t="inlineStr">
        <is>
          <t>V23-INT-007</t>
        </is>
      </c>
      <c r="K90" s="34" t="inlineStr">
        <is>
          <t>未开始</t>
        </is>
      </c>
      <c r="L90" s="35" t="inlineStr">
        <is>
          <t>【目标】实现GDPR合规的E2E测试自动化。
【运行命令】npm run test:e2e -- --grep 'GDPR compliance'
【实现步骤】
1. 创建GDPR测试工具类（用户数据创建/清理）
2. 实现数据导出E2E测试（请求→等待→下载→验证）
3. 实现数据删除E2E测试（请求→宽限期→确认→验证）
4. 实现Cookie Consent E2E测试
5. 实现年龄验证E2E测试
6. 集成到CI/CD流水线
【源文件路径】e2e/tests/gdprCompliance.test.ts, e2e/utils/GDPRTestHelper.ts
【测试文件路径】e2e/tests/gdprCompliance.test.ts</t>
        </is>
      </c>
      <c r="M90" s="36" t="inlineStr">
        <is>
          <t>GDPR合规E2E测试实现完成，覆盖所有合规场景</t>
        </is>
      </c>
      <c r="N90" s="29" t="inlineStr"/>
    </row>
    <row r="91">
      <c r="A91" s="30" t="inlineStr">
        <is>
          <t>V23-INT-009</t>
        </is>
      </c>
      <c r="B91" s="30" t="inlineStr">
        <is>
          <t>GDPR合规测试 - 验收</t>
        </is>
      </c>
      <c r="C91" s="30" t="inlineStr">
        <is>
          <t>Acceptance验收</t>
        </is>
      </c>
      <c r="D91" s="30" t="inlineStr">
        <is>
          <t>全球版集成测试</t>
        </is>
      </c>
      <c r="E91" s="33" t="inlineStr">
        <is>
          <t>P0</t>
        </is>
      </c>
      <c r="F91" s="30" t="inlineStr">
        <is>
          <t>测试</t>
        </is>
      </c>
      <c r="G91" s="30" t="n">
        <v>2</v>
      </c>
      <c r="H91" s="30" t="inlineStr">
        <is>
          <t>2026-W26</t>
        </is>
      </c>
      <c r="I91" s="30" t="inlineStr">
        <is>
          <t>2026-W27</t>
        </is>
      </c>
      <c r="J91" s="30" t="inlineStr">
        <is>
          <t>V23-INT-008</t>
        </is>
      </c>
      <c r="K91" s="34" t="inlineStr">
        <is>
          <t>未开始</t>
        </is>
      </c>
      <c r="L91" s="37" t="inlineStr">
        <is>
          <t>【目标】验收GDPR合规测试的覆盖率和合规性。
【验收检查项】
1. 数据导出测试验证导出完整性
2. 数据删除测试验证数据彻底清除
3. Cookie Consent测试验证合规性
4. 年龄验证测试验证COPPA合规
5. 测试在CI中稳定运行
【运行命令】npm run test:e2e -- --grep 'gdpr compliance'</t>
        </is>
      </c>
      <c r="M91" s="38" t="inlineStr">
        <is>
          <t>GDPR合规测试验收通过，覆盖所有合规要求</t>
        </is>
      </c>
      <c r="N91" s="30" t="inlineStr"/>
    </row>
    <row r="92">
      <c r="A92" s="29" t="inlineStr">
        <is>
          <t>V23-INT-010</t>
        </is>
      </c>
      <c r="B92" s="29" t="inlineStr">
        <is>
          <t>全球延迟测试 - 测试</t>
        </is>
      </c>
      <c r="C92" s="29" t="inlineStr">
        <is>
          <t>Red测试</t>
        </is>
      </c>
      <c r="D92" s="29" t="inlineStr">
        <is>
          <t>全球版集成测试</t>
        </is>
      </c>
      <c r="E92" s="33" t="inlineStr">
        <is>
          <t>P0</t>
        </is>
      </c>
      <c r="F92" s="29" t="inlineStr">
        <is>
          <t>DevOps</t>
        </is>
      </c>
      <c r="G92" s="29" t="n">
        <v>2</v>
      </c>
      <c r="H92" s="29" t="inlineStr">
        <is>
          <t>2026-W26</t>
        </is>
      </c>
      <c r="I92" s="29" t="inlineStr">
        <is>
          <t>2026-W27</t>
        </is>
      </c>
      <c r="J92" s="29" t="n"/>
      <c r="K92" s="34" t="inlineStr">
        <is>
          <t>未开始</t>
        </is>
      </c>
      <c r="L92" s="35" t="inlineStr">
        <is>
          <t>【目标】编写全球延迟测试的测试用例。
【运行命令】cd infra &amp;&amp; pytest tests/test_global_latency.py -v
【测试文件路径】infra/tests/test_global_latency.py
【测试用例清单】
1. test_api_latency_us_east_1：us-east-1 API延迟&lt;100ms
2. test_api_latency_eu_west_1：eu-west-1 API延迟&lt;200ms
3. test_api_latency_ap_northeast_1：ap-northeast-1 API延迟&lt;200ms
4. test_static_asset_cdn_latency：CDN静态资源延迟&lt;50ms
5. test_dns_resolution_latency：DNS解析延迟&lt;50ms</t>
        </is>
      </c>
      <c r="M92" s="36" t="inlineStr">
        <is>
          <t>5个全球延迟测试通过，覆盖各区域API和CDN延迟</t>
        </is>
      </c>
      <c r="N92" s="29" t="inlineStr"/>
    </row>
    <row r="93">
      <c r="A93" s="30" t="inlineStr">
        <is>
          <t>V23-INT-011</t>
        </is>
      </c>
      <c r="B93" s="30" t="inlineStr">
        <is>
          <t>全球延迟测试 - 实现</t>
        </is>
      </c>
      <c r="C93" s="30" t="inlineStr">
        <is>
          <t>Green实现</t>
        </is>
      </c>
      <c r="D93" s="30" t="inlineStr">
        <is>
          <t>全球版集成测试</t>
        </is>
      </c>
      <c r="E93" s="33" t="inlineStr">
        <is>
          <t>P0</t>
        </is>
      </c>
      <c r="F93" s="30" t="inlineStr">
        <is>
          <t>DevOps</t>
        </is>
      </c>
      <c r="G93" s="30" t="n">
        <v>4</v>
      </c>
      <c r="H93" s="30" t="inlineStr">
        <is>
          <t>2026-W26</t>
        </is>
      </c>
      <c r="I93" s="30" t="inlineStr">
        <is>
          <t>2026-W27</t>
        </is>
      </c>
      <c r="J93" s="30" t="inlineStr">
        <is>
          <t>V23-INT-010</t>
        </is>
      </c>
      <c r="K93" s="34" t="inlineStr">
        <is>
          <t>未开始</t>
        </is>
      </c>
      <c r="L93" s="37" t="inlineStr">
        <is>
          <t>【目标】实现全球延迟测试自动化，持续监控各区域性能。
【运行命令】cd infra &amp;&amp; pytest tests/test_global_latency.py -v
【实现步骤】
1. 创建infra/tests/global_latency_test.py延迟测试脚本
2. 配置各区域测试端点
3. 实现API延迟测试（从各区域发起请求）
4. 实现CDN延迟测试（全球各节点）
5. 实现DNS解析延迟测试
6. 生成延迟报告并设置阈值告警
7. 集成到CI/CD和定时任务
【源文件路径】infra/tests/global_latency_test.py, infra/scripts/latency_report.py
【测试文件路径】infra/tests/test_global_latency.py</t>
        </is>
      </c>
      <c r="M93" s="38" t="inlineStr">
        <is>
          <t>全球延迟测试实现完成，持续监控各区域性能</t>
        </is>
      </c>
      <c r="N93" s="30" t="inlineStr"/>
    </row>
    <row r="94">
      <c r="A94" s="29" t="inlineStr">
        <is>
          <t>V23-INT-012</t>
        </is>
      </c>
      <c r="B94" s="29" t="inlineStr">
        <is>
          <t>全球延迟测试 - 验收</t>
        </is>
      </c>
      <c r="C94" s="29" t="inlineStr">
        <is>
          <t>Acceptance验收</t>
        </is>
      </c>
      <c r="D94" s="29" t="inlineStr">
        <is>
          <t>全球版集成测试</t>
        </is>
      </c>
      <c r="E94" s="33" t="inlineStr">
        <is>
          <t>P0</t>
        </is>
      </c>
      <c r="F94" s="29" t="inlineStr">
        <is>
          <t>DevOps</t>
        </is>
      </c>
      <c r="G94" s="29" t="n">
        <v>2</v>
      </c>
      <c r="H94" s="29" t="inlineStr">
        <is>
          <t>2026-W26</t>
        </is>
      </c>
      <c r="I94" s="29" t="inlineStr">
        <is>
          <t>2026-W27</t>
        </is>
      </c>
      <c r="J94" s="29" t="inlineStr">
        <is>
          <t>V23-INT-011</t>
        </is>
      </c>
      <c r="K94" s="34" t="inlineStr">
        <is>
          <t>未开始</t>
        </is>
      </c>
      <c r="L94" s="35" t="inlineStr">
        <is>
          <t>【目标】验收全球延迟测试的覆盖率和准确性。
【验收检查项】
1. 三个区域API延迟均达标
2. CDN延迟全球范围内&lt;100ms
3. DNS解析延迟&lt;50ms
4. 延迟报告自动生成
5. 超阈值告警正确触发
【运行命令】cd infra &amp;&amp; pytest tests/test_global_latency.py -v &amp;&amp; ./scripts/run-latency-test.sh</t>
        </is>
      </c>
      <c r="M94" s="36" t="inlineStr">
        <is>
          <t>全球延迟测试验收通过，各区域性能达标</t>
        </is>
      </c>
      <c r="N94" s="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2026-03-31T15:23:21Z</dcterms:created>
  <dcterms:modified xmlns:dcterms="http://purl.org/dc/terms/" xmlns:xsi="http://www.w3.org/2001/XMLSchema-instance" xsi:type="dcterms:W3CDTF">2026-04-04T04:53:08Z</dcterms:modified>
</cp:coreProperties>
</file>